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sheetId="1" state="visible" r:id="rId1"/>
    <sheet xmlns:r="http://schemas.openxmlformats.org/officeDocument/2006/relationships" name="VAR-005_detail" sheetId="2" state="visible" r:id="rId2"/>
    <sheet xmlns:r="http://schemas.openxmlformats.org/officeDocument/2006/relationships" name="Log" sheetId="3" state="visible" r:id="rId3"/>
    <sheet xmlns:r="http://schemas.openxmlformats.org/officeDocument/2006/relationships" name="Summary" sheetId="4" state="visible" r:id="rId4"/>
  </sheets>
  <definedNames>
    <definedName name="_xlnm._FilterDatabase" localSheetId="0" hidden="1">'Register'!$A$2:$K$10</definedName>
  </definedNames>
  <calcPr calcId="124519" fullCalcOnLoad="1"/>
</workbook>
</file>

<file path=xl/styles.xml><?xml version="1.0" encoding="utf-8"?>
<styleSheet xmlns="http://schemas.openxmlformats.org/spreadsheetml/2006/main">
  <numFmts count="2">
    <numFmt numFmtId="164" formatCode="&quot;INR &quot;#,##,##0"/>
    <numFmt numFmtId="165" formatCode="0.00&quot; Cr&quot;"/>
  </numFmts>
  <fonts count="6">
    <font>
      <name val="Calibri"/>
      <family val="2"/>
      <color theme="1"/>
      <sz val="11"/>
      <scheme val="minor"/>
    </font>
    <font>
      <b val="1"/>
      <sz val="13"/>
    </font>
    <font>
      <b val="1"/>
      <color rgb="00FFFFFF"/>
      <sz val="10"/>
    </font>
    <font>
      <b val="1"/>
    </font>
    <font>
      <i val="1"/>
      <color rgb="00808080"/>
      <sz val="8"/>
    </font>
    <font>
      <i val="1"/>
      <sz val="9"/>
    </font>
  </fonts>
  <fills count="8">
    <fill>
      <patternFill/>
    </fill>
    <fill>
      <patternFill patternType="gray125"/>
    </fill>
    <fill>
      <patternFill patternType="solid">
        <fgColor rgb="00D9D9D9"/>
        <bgColor rgb="00D9D9D9"/>
      </patternFill>
    </fill>
    <fill>
      <patternFill patternType="solid">
        <fgColor rgb="001F3864"/>
        <bgColor rgb="001F3864"/>
      </patternFill>
    </fill>
    <fill>
      <patternFill patternType="solid">
        <fgColor rgb="00D2EFD2"/>
        <bgColor rgb="00D2EFD2"/>
      </patternFill>
    </fill>
    <fill>
      <patternFill patternType="solid">
        <fgColor rgb="00F8CBCB"/>
        <bgColor rgb="00F8CBCB"/>
      </patternFill>
    </fill>
    <fill>
      <patternFill patternType="solid">
        <fgColor rgb="00FDE9C8"/>
        <bgColor rgb="00FDE9C8"/>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0" fillId="4" borderId="1" applyAlignment="1" pivotButton="0" quotePrefix="0" xfId="0">
      <alignment vertical="top" wrapText="1"/>
    </xf>
    <xf numFmtId="164" fontId="0" fillId="4" borderId="1" applyAlignment="1" pivotButton="0" quotePrefix="0" xfId="0">
      <alignment vertical="top" wrapText="1"/>
    </xf>
    <xf numFmtId="0" fontId="3" fillId="5" borderId="1" applyAlignment="1" pivotButton="0" quotePrefix="0" xfId="0">
      <alignment vertical="top" wrapText="1"/>
    </xf>
    <xf numFmtId="0" fontId="0" fillId="5" borderId="1" applyAlignment="1" pivotButton="0" quotePrefix="0" xfId="0">
      <alignment vertical="top" wrapText="1"/>
    </xf>
    <xf numFmtId="164" fontId="0" fillId="5" borderId="1" applyAlignment="1" pivotButton="0" quotePrefix="0" xfId="0">
      <alignment vertical="top" wrapText="1"/>
    </xf>
    <xf numFmtId="0" fontId="3" fillId="6" borderId="1" applyAlignment="1" pivotButton="0" quotePrefix="0" xfId="0">
      <alignment vertical="top" wrapText="1"/>
    </xf>
    <xf numFmtId="0" fontId="0" fillId="6" borderId="1" applyAlignment="1" pivotButton="0" quotePrefix="0" xfId="0">
      <alignment vertical="top" wrapText="1"/>
    </xf>
    <xf numFmtId="164" fontId="0" fillId="6" borderId="1" applyAlignment="1" pivotButton="0" quotePrefix="0" xfId="0">
      <alignment vertical="top" wrapText="1"/>
    </xf>
    <xf numFmtId="0" fontId="0" fillId="7" borderId="1" applyAlignment="1" pivotButton="0" quotePrefix="0" xfId="0">
      <alignment vertical="top" wrapText="1"/>
    </xf>
    <xf numFmtId="0" fontId="4" fillId="0" borderId="0" pivotButton="0" quotePrefix="0" xfId="0"/>
    <xf numFmtId="0" fontId="1" fillId="2" borderId="0" pivotButton="0" quotePrefix="0" xfId="0"/>
    <xf numFmtId="0" fontId="2" fillId="3" borderId="1" pivotButton="0" quotePrefix="0" xfId="0"/>
    <xf numFmtId="0" fontId="0" fillId="0" borderId="1" pivotButton="0" quotePrefix="0" xfId="0"/>
    <xf numFmtId="164" fontId="0" fillId="0" borderId="1" pivotButton="0" quotePrefix="0" xfId="0"/>
    <xf numFmtId="0" fontId="3" fillId="0" borderId="0" pivotButton="0" quotePrefix="0" xfId="0"/>
    <xf numFmtId="164" fontId="0" fillId="0" borderId="0" pivotButton="0" quotePrefix="0" xfId="0"/>
    <xf numFmtId="0" fontId="2" fillId="3" borderId="0" pivotButton="0" quotePrefix="0" xfId="0"/>
    <xf numFmtId="0" fontId="0" fillId="0" borderId="0" applyAlignment="1" pivotButton="0" quotePrefix="0" xfId="0">
      <alignment vertical="top" wrapText="1"/>
    </xf>
    <xf numFmtId="0" fontId="3" fillId="2" borderId="0" pivotButton="0" quotePrefix="0" xfId="0"/>
    <xf numFmtId="165" fontId="0" fillId="0" borderId="0" pivotButton="0" quotePrefix="0" xfId="0"/>
    <xf numFmtId="165" fontId="3" fillId="0" borderId="0" pivotButton="0" quotePrefix="0" xfId="0"/>
    <xf numFmtId="164" fontId="3"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Shalini Iyer</author>
  </authors>
  <commentList>
    <comment ref="E22" authorId="0" shapeId="0">
      <text>
        <t>refund went to the distributor a/c XXXXXXXX4417, IFSC XXXX0000000 - do not circulate outside finance</t>
      </text>
    </comment>
  </commentList>
</comments>
</file>

<file path=xl/comments/comment2.xml><?xml version="1.0" encoding="utf-8"?>
<comments xmlns="http://schemas.openxmlformats.org/spreadsheetml/2006/main">
  <authors>
    <author>Sneha Pillai</author>
  </authors>
  <commentList>
    <comment ref="C6" authorId="0" shapeId="0">
      <text>
        <t>check with Ananya - I count 4 open on the Register tab now, not 5. left as-is from last week's draft, need to reconcile before this goes out again - Sneha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34" customWidth="1" min="3" max="3"/>
    <col width="46" customWidth="1" min="4" max="4"/>
    <col width="15" customWidth="1" min="5" max="5"/>
    <col width="16" customWidth="1" min="6" max="6"/>
    <col width="10" customWidth="1" min="7" max="7"/>
    <col width="11" customWidth="1" min="8" max="8"/>
    <col width="9" customWidth="1" min="9" max="9"/>
    <col width="9" customWidth="1" min="10" max="10"/>
    <col width="40" customWidth="1" min="11" max="11"/>
  </cols>
  <sheetData>
    <row r="1" ht="22" customHeight="1">
      <c r="A1" s="1" t="inlineStr">
        <is>
          <t>Project Drishti  |  Variance Tracker  |  v7  |  Northlane Analytics</t>
        </is>
      </c>
    </row>
    <row r="2" ht="28" customHeight="1">
      <c r="A2" s="2" t="inlineStr">
        <is>
          <t>ID</t>
        </is>
      </c>
      <c r="B2" s="2" t="inlineStr">
        <is>
          <t>Title</t>
        </is>
      </c>
      <c r="C2" s="2" t="inlineStr">
        <is>
          <t>Description</t>
        </is>
      </c>
      <c r="D2" s="2" t="inlineStr">
        <is>
          <t>Root Cause</t>
        </is>
      </c>
      <c r="E2" s="2" t="inlineStr">
        <is>
          <t>Impact (INR)</t>
        </is>
      </c>
      <c r="F2" s="2" t="inlineStr">
        <is>
          <t>Owner</t>
        </is>
      </c>
      <c r="G2" s="2" t="inlineStr">
        <is>
          <t>Status</t>
        </is>
      </c>
      <c r="H2" s="2" t="inlineStr">
        <is>
          <t>Raised</t>
        </is>
      </c>
      <c r="I2" s="2" t="inlineStr">
        <is>
          <t>Target Close</t>
        </is>
      </c>
      <c r="J2" s="2" t="inlineStr">
        <is>
          <t>Actual Close</t>
        </is>
      </c>
      <c r="K2" s="2" t="inlineStr">
        <is>
          <t>Comments</t>
        </is>
      </c>
    </row>
    <row r="3" ht="58" customHeight="1">
      <c r="A3" s="3" t="inlineStr">
        <is>
          <t>VAR-001</t>
        </is>
      </c>
      <c r="B3" s="4" t="inlineStr">
        <is>
          <t>FY26 Q1 revenue overstated</t>
        </is>
      </c>
      <c r="C3" s="4" t="inlineStr">
        <is>
          <t>Cancelled / logically-deleted invoice lines were being counted as revenue in the Apr-Jun 25 numbers. Came up during the March findings session, Shalini would not sign the pack.</t>
        </is>
      </c>
      <c r="D3" s="4" t="inlineStr">
        <is>
          <t>MAP_FACT_INVOICE_LINE had no DELETE_FLAG filter at all - every line incl. cancelled ones was loading. Corrected predicate NVL(DELETE_FLAG,'N')='N'. Deployed under CHG0021184.</t>
        </is>
      </c>
      <c r="E3" s="5" t="n">
        <v>42163910</v>
      </c>
      <c r="F3" s="4" t="inlineStr">
        <is>
          <t>Farida Contractor</t>
        </is>
      </c>
      <c r="G3" s="4" t="inlineStr">
        <is>
          <t>Closed</t>
        </is>
      </c>
      <c r="H3" s="4" t="inlineStr">
        <is>
          <t>24/03/2026</t>
        </is>
      </c>
      <c r="I3" s="4" t="inlineStr">
        <is>
          <t>31-May-26</t>
        </is>
      </c>
      <c r="J3" s="4" t="inlineStr">
        <is>
          <t>12-Jun-2026</t>
        </is>
      </c>
      <c r="K3" s="4" t="inlineStr">
        <is>
          <t>fix confirmed live, Shalini ties out to TB now for Apr-Jun. as discussed on the finance call closing this one. -Ananya</t>
        </is>
      </c>
    </row>
    <row r="4" ht="58" customHeight="1">
      <c r="A4" s="3" t="inlineStr">
        <is>
          <t>VAR-002</t>
        </is>
      </c>
      <c r="B4" s="4" t="inlineStr">
        <is>
          <t>Month-end boundary drift</t>
        </is>
      </c>
      <c r="C4" s="4" t="inlineStr">
        <is>
          <t>DATE_KEY was keying off a UTC timestamp instead of the IST invoice date, invoices near midnight on month end fell into the wrong month.</t>
        </is>
      </c>
      <c r="D4" s="4" t="inlineStr">
        <is>
          <t>DATE_KEY derived from INVOICE_HEADER.CREATED_TS (written in UTC) instead of INVOICE_DT (IST). Invoices raised after 18:30 IST on the last day of a month landed in the next month. Fixed under ADR-005 and CHG0021207.</t>
        </is>
      </c>
      <c r="E4" s="5" t="n">
        <v>8974200</v>
      </c>
      <c r="F4" s="4" t="inlineStr">
        <is>
          <t>Karthik Subramanian</t>
        </is>
      </c>
      <c r="G4" s="4" t="inlineStr">
        <is>
          <t>Closed</t>
        </is>
      </c>
      <c r="H4" s="4" t="inlineStr">
        <is>
          <t>24-Mar-26</t>
        </is>
      </c>
      <c r="I4" s="4" t="inlineStr">
        <is>
          <t>31/05/2026</t>
        </is>
      </c>
      <c r="J4" s="4" t="inlineStr">
        <is>
          <t>12/06/2026</t>
        </is>
      </c>
      <c r="K4" s="4" t="inlineStr">
        <is>
          <t>closed per Karthik. pls confirm no repeat in the Aug close ?? Sneha to check with Shalini before we report this as fully done</t>
        </is>
      </c>
    </row>
    <row r="5" ht="58" customHeight="1">
      <c r="A5" s="6" t="inlineStr">
        <is>
          <t>VAR-003</t>
        </is>
      </c>
      <c r="B5" s="7" t="inlineStr">
        <is>
          <t>Scheme discount double-count</t>
        </is>
      </c>
      <c r="C5" s="7" t="inlineStr">
        <is>
          <t>Same set of invoice lines appear to be picking up the scheme discount more than once in some months. Flagged in the March findings session, dbl link theory from that meeting did not hold up.</t>
        </is>
      </c>
      <c r="D5" s="7" t="inlineStr">
        <is>
          <t>Root cause is source-side, not in the ETL - a finance procedure in ORION rewrites the scheme discount amount. See the stored procedure walkthrough (Ani/Karthik) for the detail. Fix is a key-based merge rebuild of MAP_FACT_INVOICE_LINE, ADR-004, planned R2026.09.</t>
        </is>
      </c>
      <c r="E5" s="8" t="n">
        <v>16890000</v>
      </c>
      <c r="F5" s="7" t="inlineStr">
        <is>
          <t>Aniruddh Deshpande</t>
        </is>
      </c>
      <c r="G5" s="7" t="inlineStr">
        <is>
          <t>Open</t>
        </is>
      </c>
      <c r="H5" s="7" t="inlineStr">
        <is>
          <t>24-Mar-2026</t>
        </is>
      </c>
      <c r="I5" s="7" t="inlineStr">
        <is>
          <t>30-Sep-26</t>
        </is>
      </c>
      <c r="J5" s="7" t="inlineStr"/>
      <c r="K5" s="7" t="inlineStr">
        <is>
          <t>ani still owns diagnosis, build with karthik's team. dont close this till R2026.09 actually ships, pls</t>
        </is>
      </c>
    </row>
    <row r="6" ht="58" customHeight="1">
      <c r="A6" s="9" t="inlineStr">
        <is>
          <t>VAR-004</t>
        </is>
      </c>
      <c r="B6" s="10" t="inlineStr">
        <is>
          <t>Duplicate facts on distributor reassignment</t>
        </is>
      </c>
      <c r="C6" s="10" t="inlineStr">
        <is>
          <t>A distributor territory reassignment leaves two dimension rows both marked current, so the fact table joins twice and revenue doubles for that customer. Worked example DIST-W-0241 Mahalaxmi Distributors.</t>
        </is>
      </c>
      <c r="D6" s="10" t="inlineStr">
        <is>
          <t>On a territory reassignment the closing DIM_CUSTOMER row's EFF_END_DT is set to the same timestamp as the new row's EFF_START_DT and CURRENT_FLG stays 'Y' on both. 61 customers have overlapping effective dates, 18 carry two current rows.</t>
        </is>
      </c>
      <c r="E6" s="11" t="n">
        <v>6480500</v>
      </c>
      <c r="F6" s="12" t="inlineStr">
        <is>
          <t>F. Contractor</t>
        </is>
      </c>
      <c r="G6" s="10" t="inlineStr">
        <is>
          <t>Open</t>
        </is>
      </c>
      <c r="H6" s="10" t="inlineStr">
        <is>
          <t>19/05/2026</t>
        </is>
      </c>
      <c r="I6" s="10" t="inlineStr">
        <is>
          <t>TBC</t>
        </is>
      </c>
      <c r="J6" s="10" t="inlineStr"/>
      <c r="K6" s="10" t="inlineStr">
        <is>
          <t>Ishaan looking into the DIM_CUSTOMER fix with Karthik, worked example is DIST-W-0241. no target date yet, pls confirm with Ani if this needs a hotfix or goes in the phase 2 build</t>
        </is>
      </c>
    </row>
    <row r="7" ht="58" customHeight="1">
      <c r="A7" s="6" t="inlineStr">
        <is>
          <t>VAR-005</t>
        </is>
      </c>
      <c r="B7" s="7" t="inlineStr">
        <is>
          <t>Credit notes absent from warehouse</t>
        </is>
      </c>
      <c r="C7" s="7" t="inlineStr">
        <is>
          <t>Revenue-affecting credit notes are not reflected in the reported EDW revenue line. Came up during the April close reconciliation.</t>
        </is>
      </c>
      <c r="D7" s="7" t="inlineStr">
        <is>
          <t>Root cause with data architecture, being written up separately - not to be repeated on this sheet, pls confirm w Karthik before quoting.</t>
        </is>
      </c>
      <c r="E7" s="8" t="n">
        <v>31120000</v>
      </c>
      <c r="F7" s="7" t="inlineStr">
        <is>
          <t>Shalini Iyer</t>
        </is>
      </c>
      <c r="G7" s="7" t="inlineStr">
        <is>
          <t>Open</t>
        </is>
      </c>
      <c r="H7" s="7" t="inlineStr">
        <is>
          <t>24-Apr-26</t>
        </is>
      </c>
      <c r="I7" s="7" t="inlineStr">
        <is>
          <t>TBC</t>
        </is>
      </c>
      <c r="J7" s="7" t="inlineStr"/>
      <c r="K7" s="7" t="inlineStr">
        <is>
          <t>impact validated by shalini against the trial balance, see VAR-005_detail tab. ?? need to check if this already reflects Aug or only till Jul, confirm before steerco pack goes out</t>
        </is>
      </c>
    </row>
    <row r="8" ht="58" customHeight="1">
      <c r="A8" s="3" t="inlineStr">
        <is>
          <t>VAR-006</t>
        </is>
      </c>
      <c r="B8" s="4" t="inlineStr">
        <is>
          <t>GST rate change mishandled</t>
        </is>
      </c>
      <c r="C8" s="4" t="inlineStr">
        <is>
          <t>The Chandanaa HSN 3401 rate change was applied to the wrong period because the tax table has no effective dating. Found during the DQ assessment.</t>
        </is>
      </c>
      <c r="D8" s="4" t="inlineStr">
        <is>
          <t>BCPL_EDW.TAX_RATE_MASTER is a truncate-and-reload snapshot with no effective dating. The 18% to 12% change effective 01-Oct-2025 was applied retrospectively to Apr-Sep 2025. Replaced by DIM_TAX_RATE under CHG0021339.</t>
        </is>
      </c>
      <c r="E8" s="5" t="n">
        <v>3960000</v>
      </c>
      <c r="F8" s="4" t="inlineStr">
        <is>
          <t>Neha Gokhale</t>
        </is>
      </c>
      <c r="G8" s="4" t="inlineStr">
        <is>
          <t>Closed</t>
        </is>
      </c>
      <c r="H8" s="4" t="inlineStr">
        <is>
          <t>18/06/2026</t>
        </is>
      </c>
      <c r="I8" s="4" t="inlineStr">
        <is>
          <t>31-Aug-26</t>
        </is>
      </c>
      <c r="J8" s="4" t="inlineStr">
        <is>
          <t>28-Aug-2026</t>
        </is>
      </c>
      <c r="K8" s="4" t="inlineStr">
        <is>
          <t>DIM_TAX_RATE live, marking closed. honestly still waiting on someone to confirm the Sep invoices are picking the new rate correctly, dont think we have actually tested that yet tbh</t>
        </is>
      </c>
    </row>
    <row r="9" ht="58" customHeight="1">
      <c r="A9" s="9" t="inlineStr">
        <is>
          <t>VAR-007</t>
        </is>
      </c>
      <c r="B9" s="10" t="inlineStr">
        <is>
          <t>Late-arriving SKUs to UNKNOWN member</t>
        </is>
      </c>
      <c r="C9" s="10" t="inlineStr">
        <is>
          <t>A SKU invoiced before the product dimension has seen it lands on the UNKNOWN member and never gets re-pointed once the dimension catches up.</t>
        </is>
      </c>
      <c r="D9" s="10" t="inlineStr">
        <is>
          <t>No late-arriving dimension handling in MAP_FACT_INVOICE_LINE. Average 8,140 lines a month, peak 11,902 in Jan-2026, 2.0% of invoiced volume. Fails DQ-R-04 at 98.0% against a 99.5% threshold.</t>
        </is>
      </c>
      <c r="E9" s="10" t="inlineStr">
        <is>
          <t>2.0% of invoiced volume (no INR figure assigned)</t>
        </is>
      </c>
      <c r="F9" s="10" t="inlineStr">
        <is>
          <t>Ritwik Ghosh</t>
        </is>
      </c>
      <c r="G9" s="10" t="inlineStr">
        <is>
          <t>Open</t>
        </is>
      </c>
      <c r="H9" s="10" t="inlineStr">
        <is>
          <t>18-Jun-26</t>
        </is>
      </c>
      <c r="I9" s="10" t="inlineStr"/>
      <c r="J9" s="10" t="inlineStr"/>
      <c r="K9" s="10" t="inlineStr">
        <is>
          <t>half the readout we argued about whose backlog this actually sits in, dashboard team vs data team. no fix planned this release far as i know</t>
        </is>
      </c>
    </row>
    <row r="10" ht="58" customHeight="1">
      <c r="A10" s="3" t="inlineStr">
        <is>
          <t>VAR-008</t>
        </is>
      </c>
      <c r="B10" s="4" t="inlineStr">
        <is>
          <t>Feb duplicate load</t>
        </is>
      </c>
      <c r="C10" s="4" t="inlineStr">
        <is>
          <t>The Sat 14-Feb load failed and was resubmitted manually, the whole night's invoice lines got appended a second time. Sat in the Feb numbers for three weeks before anyone caught it.</t>
        </is>
      </c>
      <c r="D10" s="4" t="inlineStr">
        <is>
          <t>LP_DAILY_SALES resubmitted manually after a failure on 14-Feb-2026 as session SESS_884012, IKM Oracle Control Append appended the whole night again. Batch-id guard added in R2026.07.</t>
        </is>
      </c>
      <c r="E10" s="5" t="n">
        <v>29410000</v>
      </c>
      <c r="F10" s="12" t="inlineStr">
        <is>
          <t>Farida C.</t>
        </is>
      </c>
      <c r="G10" s="4" t="inlineStr">
        <is>
          <t>Closed</t>
        </is>
      </c>
      <c r="H10" s="4" t="inlineStr">
        <is>
          <t>06/03/2026</t>
        </is>
      </c>
      <c r="I10" s="4" t="inlineStr">
        <is>
          <t>31-Mar-26</t>
        </is>
      </c>
      <c r="J10" s="4" t="inlineStr">
        <is>
          <t>02-Apr-2026</t>
        </is>
      </c>
      <c r="K10" s="4" t="inlineStr">
        <is>
          <t>closed, batch id guard tested on two month ends since with no repeat. Farida confirmed in the June sync</t>
        </is>
      </c>
    </row>
    <row r="12">
      <c r="A12" s="13" t="inlineStr">
        <is>
          <t>SYNTHETIC — generated for internal demo. No real entity depicted.</t>
        </is>
      </c>
    </row>
  </sheetData>
  <autoFilter ref="A2:K10"/>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11" customWidth="1" min="3" max="3"/>
    <col width="16" customWidth="1" min="4" max="4"/>
    <col width="42" customWidth="1" min="5" max="5"/>
  </cols>
  <sheetData>
    <row r="1">
      <c r="A1" s="14" t="inlineStr">
        <is>
          <t>VAR-005 - Credit Note Impact Detail (validated 21-Jul-2026)</t>
        </is>
      </c>
    </row>
    <row r="2">
      <c r="A2" s="15" t="inlineStr">
        <is>
          <t>Month</t>
        </is>
      </c>
      <c r="B2" s="15" t="inlineStr">
        <is>
          <t>CN Type</t>
        </is>
      </c>
      <c r="C2" s="15" t="inlineStr">
        <is>
          <t>Doc Count</t>
        </is>
      </c>
      <c r="D2" s="15" t="inlineStr">
        <is>
          <t>Amount (INR)</t>
        </is>
      </c>
      <c r="E2" s="15" t="inlineStr">
        <is>
          <t>Notes</t>
        </is>
      </c>
    </row>
    <row r="3">
      <c r="A3" s="16" t="inlineStr">
        <is>
          <t>Apr-25</t>
        </is>
      </c>
      <c r="B3" s="16" t="inlineStr">
        <is>
          <t>RATE_DIFF</t>
        </is>
      </c>
      <c r="C3" s="16" t="n">
        <v>58</v>
      </c>
      <c r="D3" s="17" t="n">
        <v>1493540</v>
      </c>
      <c r="E3" s="16" t="inlineStr"/>
    </row>
    <row r="4">
      <c r="A4" s="16" t="inlineStr">
        <is>
          <t>Apr-25</t>
        </is>
      </c>
      <c r="B4" s="16" t="inlineStr">
        <is>
          <t>OFF_INV_ADJ</t>
        </is>
      </c>
      <c r="C4" s="16" t="n">
        <v>40</v>
      </c>
      <c r="D4" s="17" t="n">
        <v>1026470</v>
      </c>
      <c r="E4" s="16" t="inlineStr"/>
    </row>
    <row r="5">
      <c r="A5" s="16" t="inlineStr">
        <is>
          <t>May-25</t>
        </is>
      </c>
      <c r="B5" s="16" t="inlineStr">
        <is>
          <t>RATE_DIFF</t>
        </is>
      </c>
      <c r="C5" s="16" t="n">
        <v>69</v>
      </c>
      <c r="D5" s="17" t="n">
        <v>1775430</v>
      </c>
      <c r="E5" s="16" t="inlineStr"/>
    </row>
    <row r="6">
      <c r="A6" s="16" t="inlineStr">
        <is>
          <t>May-25</t>
        </is>
      </c>
      <c r="B6" s="16" t="inlineStr">
        <is>
          <t>OFF_INV_ADJ</t>
        </is>
      </c>
      <c r="C6" s="16" t="n">
        <v>41</v>
      </c>
      <c r="D6" s="17" t="n">
        <v>1045420</v>
      </c>
      <c r="E6" s="16" t="inlineStr"/>
    </row>
    <row r="7">
      <c r="A7" s="16" t="inlineStr">
        <is>
          <t>Jun-25</t>
        </is>
      </c>
      <c r="B7" s="16" t="inlineStr">
        <is>
          <t>RATE_DIFF</t>
        </is>
      </c>
      <c r="C7" s="16" t="n">
        <v>34</v>
      </c>
      <c r="D7" s="17" t="n">
        <v>879150</v>
      </c>
      <c r="E7" s="16" t="inlineStr"/>
    </row>
    <row r="8">
      <c r="A8" s="16" t="inlineStr">
        <is>
          <t>Jun-25</t>
        </is>
      </c>
      <c r="B8" s="16" t="inlineStr">
        <is>
          <t>OFF_INV_ADJ</t>
        </is>
      </c>
      <c r="C8" s="16" t="n">
        <v>49</v>
      </c>
      <c r="D8" s="17" t="n">
        <v>1274990</v>
      </c>
      <c r="E8" s="16" t="inlineStr"/>
    </row>
    <row r="9">
      <c r="A9" s="16" t="inlineStr">
        <is>
          <t>Jul-25</t>
        </is>
      </c>
      <c r="B9" s="16" t="inlineStr">
        <is>
          <t>RATE_DIFF</t>
        </is>
      </c>
      <c r="C9" s="16" t="n">
        <v>71</v>
      </c>
      <c r="D9" s="17" t="n">
        <v>1826980</v>
      </c>
      <c r="E9" s="16" t="inlineStr"/>
    </row>
    <row r="10">
      <c r="A10" s="16" t="inlineStr">
        <is>
          <t>Jul-25</t>
        </is>
      </c>
      <c r="B10" s="16" t="inlineStr">
        <is>
          <t>OFF_INV_ADJ</t>
        </is>
      </c>
      <c r="C10" s="16" t="n">
        <v>37</v>
      </c>
      <c r="D10" s="17" t="n">
        <v>961060</v>
      </c>
      <c r="E10" s="16" t="inlineStr"/>
    </row>
    <row r="11">
      <c r="A11" s="16" t="inlineStr">
        <is>
          <t>Aug-25</t>
        </is>
      </c>
      <c r="B11" s="16" t="inlineStr">
        <is>
          <t>RATE_DIFF</t>
        </is>
      </c>
      <c r="C11" s="16" t="n">
        <v>57</v>
      </c>
      <c r="D11" s="17" t="n">
        <v>1469500</v>
      </c>
      <c r="E11" s="16" t="inlineStr"/>
    </row>
    <row r="12">
      <c r="A12" s="16" t="inlineStr">
        <is>
          <t>Aug-25</t>
        </is>
      </c>
      <c r="B12" s="16" t="inlineStr">
        <is>
          <t>OFF_INV_ADJ</t>
        </is>
      </c>
      <c r="C12" s="16" t="n">
        <v>65</v>
      </c>
      <c r="D12" s="17" t="n">
        <v>1668300</v>
      </c>
      <c r="E12" s="16" t="inlineStr"/>
    </row>
    <row r="13">
      <c r="A13" s="16" t="inlineStr">
        <is>
          <t>Sep-25</t>
        </is>
      </c>
      <c r="B13" s="16" t="inlineStr">
        <is>
          <t>RATE_DIFF</t>
        </is>
      </c>
      <c r="C13" s="16" t="n">
        <v>35</v>
      </c>
      <c r="D13" s="17" t="n">
        <v>900620</v>
      </c>
      <c r="E13" s="16" t="inlineStr"/>
    </row>
    <row r="14">
      <c r="A14" s="16" t="inlineStr">
        <is>
          <t>Sep-25</t>
        </is>
      </c>
      <c r="B14" s="16" t="inlineStr">
        <is>
          <t>OFF_INV_ADJ</t>
        </is>
      </c>
      <c r="C14" s="16" t="n">
        <v>75</v>
      </c>
      <c r="D14" s="17" t="n">
        <v>1947580</v>
      </c>
      <c r="E14" s="16" t="inlineStr"/>
    </row>
    <row r="15">
      <c r="A15" s="16" t="inlineStr">
        <is>
          <t>Oct-25</t>
        </is>
      </c>
      <c r="B15" s="16" t="inlineStr">
        <is>
          <t>RATE_DIFF</t>
        </is>
      </c>
      <c r="C15" s="16" t="n">
        <v>51</v>
      </c>
      <c r="D15" s="17" t="n">
        <v>1317290</v>
      </c>
      <c r="E15" s="16" t="inlineStr"/>
    </row>
    <row r="16">
      <c r="A16" s="16" t="inlineStr">
        <is>
          <t>Oct-25</t>
        </is>
      </c>
      <c r="B16" s="16" t="inlineStr">
        <is>
          <t>OFF_INV_ADJ</t>
        </is>
      </c>
      <c r="C16" s="16" t="n">
        <v>36</v>
      </c>
      <c r="D16" s="17" t="n">
        <v>927340</v>
      </c>
      <c r="E16" s="16" t="inlineStr"/>
    </row>
    <row r="17">
      <c r="A17" s="16" t="inlineStr">
        <is>
          <t>Nov-25</t>
        </is>
      </c>
      <c r="B17" s="16" t="inlineStr">
        <is>
          <t>RATE_DIFF</t>
        </is>
      </c>
      <c r="C17" s="16" t="n">
        <v>40</v>
      </c>
      <c r="D17" s="17" t="n">
        <v>1023460</v>
      </c>
      <c r="E17" s="16" t="inlineStr"/>
    </row>
    <row r="18">
      <c r="A18" s="16" t="inlineStr">
        <is>
          <t>Nov-25</t>
        </is>
      </c>
      <c r="B18" s="16" t="inlineStr">
        <is>
          <t>OFF_INV_ADJ</t>
        </is>
      </c>
      <c r="C18" s="16" t="n">
        <v>50</v>
      </c>
      <c r="D18" s="17" t="n">
        <v>1278570</v>
      </c>
      <c r="E18" s="16" t="inlineStr"/>
    </row>
    <row r="19">
      <c r="A19" s="16" t="inlineStr">
        <is>
          <t>Dec-25</t>
        </is>
      </c>
      <c r="B19" s="16" t="inlineStr">
        <is>
          <t>RATE_DIFF</t>
        </is>
      </c>
      <c r="C19" s="16" t="n">
        <v>45</v>
      </c>
      <c r="D19" s="17" t="n">
        <v>1171360</v>
      </c>
      <c r="E19" s="16" t="inlineStr"/>
    </row>
    <row r="20">
      <c r="A20" s="16" t="inlineStr">
        <is>
          <t>Dec-25</t>
        </is>
      </c>
      <c r="B20" s="16" t="inlineStr">
        <is>
          <t>OFF_INV_ADJ</t>
        </is>
      </c>
      <c r="C20" s="16" t="n">
        <v>79</v>
      </c>
      <c r="D20" s="17" t="n">
        <v>2036890</v>
      </c>
      <c r="E20" s="16" t="inlineStr"/>
    </row>
    <row r="21">
      <c r="A21" s="16" t="inlineStr">
        <is>
          <t>Jan-26</t>
        </is>
      </c>
      <c r="B21" s="16" t="inlineStr">
        <is>
          <t>RATE_DIFF</t>
        </is>
      </c>
      <c r="C21" s="16" t="n">
        <v>57</v>
      </c>
      <c r="D21" s="17" t="n">
        <v>1475150</v>
      </c>
      <c r="E21" s="16" t="inlineStr"/>
    </row>
    <row r="22">
      <c r="A22" s="16" t="inlineStr">
        <is>
          <t>Jan-26</t>
        </is>
      </c>
      <c r="B22" s="16" t="inlineStr">
        <is>
          <t>OFF_INV_ADJ</t>
        </is>
      </c>
      <c r="C22" s="16" t="n">
        <v>35</v>
      </c>
      <c r="D22" s="17" t="n">
        <v>898420</v>
      </c>
      <c r="E22" s="16" t="inlineStr">
        <is>
          <t>manual adjustment - refund processed outside system, see note</t>
        </is>
      </c>
    </row>
    <row r="23">
      <c r="A23" s="16" t="inlineStr">
        <is>
          <t>Feb-26</t>
        </is>
      </c>
      <c r="B23" s="16" t="inlineStr">
        <is>
          <t>RATE_DIFF</t>
        </is>
      </c>
      <c r="C23" s="16" t="n">
        <v>35</v>
      </c>
      <c r="D23" s="17" t="n">
        <v>910730</v>
      </c>
      <c r="E23" s="16" t="inlineStr"/>
    </row>
    <row r="24">
      <c r="A24" s="16" t="inlineStr">
        <is>
          <t>Feb-26</t>
        </is>
      </c>
      <c r="B24" s="16" t="inlineStr">
        <is>
          <t>OFF_INV_ADJ</t>
        </is>
      </c>
      <c r="C24" s="16" t="n">
        <v>49</v>
      </c>
      <c r="D24" s="17" t="n">
        <v>1259130</v>
      </c>
      <c r="E24" s="16" t="inlineStr"/>
    </row>
    <row r="25">
      <c r="A25" s="16" t="inlineStr">
        <is>
          <t>Mar-26</t>
        </is>
      </c>
      <c r="B25" s="16" t="inlineStr">
        <is>
          <t>RATE_DIFF</t>
        </is>
      </c>
      <c r="C25" s="16" t="n">
        <v>36</v>
      </c>
      <c r="D25" s="17" t="n">
        <v>931520</v>
      </c>
      <c r="E25" s="16" t="inlineStr"/>
    </row>
    <row r="26">
      <c r="A26" s="16" t="inlineStr">
        <is>
          <t>Mar-26</t>
        </is>
      </c>
      <c r="B26" s="16" t="inlineStr">
        <is>
          <t>OFF_INV_ADJ</t>
        </is>
      </c>
      <c r="C26" s="16" t="n">
        <v>62</v>
      </c>
      <c r="D26" s="17" t="n">
        <v>1621100</v>
      </c>
      <c r="E26" s="16" t="inlineStr"/>
    </row>
    <row r="27">
      <c r="A27" s="18" t="inlineStr">
        <is>
          <t>Total</t>
        </is>
      </c>
      <c r="C27">
        <f>SUM(C3:C26)</f>
        <v/>
      </c>
      <c r="D27" s="19">
        <f>SUM(D3:D26)</f>
        <v/>
      </c>
      <c r="E27" t="inlineStr">
        <is>
          <t>validated by Shalini Iyer against FY26 trial balance, 21-Jul-2026</t>
        </is>
      </c>
    </row>
  </sheetData>
  <mergeCells count="1">
    <mergeCell ref="A1:E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3"/>
  <sheetViews>
    <sheetView workbookViewId="0">
      <pane ySplit="2" topLeftCell="A3" activePane="bottomLeft" state="frozen"/>
      <selection pane="bottomLeft" activeCell="A1" sqref="A1"/>
    </sheetView>
  </sheetViews>
  <sheetFormatPr baseColWidth="8" defaultRowHeight="15"/>
  <cols>
    <col width="13" customWidth="1" min="1" max="1"/>
    <col width="80" customWidth="1" min="2" max="2"/>
  </cols>
  <sheetData>
    <row r="1">
      <c r="A1" s="14" t="inlineStr">
        <is>
          <t>Change Log (append-only - do not delete old rows)</t>
        </is>
      </c>
    </row>
    <row r="2">
      <c r="A2" s="20" t="inlineStr">
        <is>
          <t>Date</t>
        </is>
      </c>
      <c r="B2" s="20" t="inlineStr">
        <is>
          <t>Entry</t>
        </is>
      </c>
    </row>
    <row r="3">
      <c r="A3" t="inlineStr">
        <is>
          <t>24/03/2026</t>
        </is>
      </c>
      <c r="B3" s="21" t="inlineStr">
        <is>
          <t>VAR-001, VAR-002, VAR-003 raised from T-03 findings. added to tracker.</t>
        </is>
      </c>
    </row>
    <row r="4">
      <c r="A4" t="inlineStr">
        <is>
          <t>06-Mar-26</t>
        </is>
      </c>
      <c r="B4" s="21" t="inlineStr">
        <is>
          <t>VAR-008 raised - Feb duplicate load, Farida investigating the re-run</t>
        </is>
      </c>
    </row>
    <row r="5">
      <c r="A5" t="inlineStr">
        <is>
          <t>02/04/2026</t>
        </is>
      </c>
      <c r="B5" s="21" t="inlineStr">
        <is>
          <t>VAR-008 closed. batch id guard added, tested ok</t>
        </is>
      </c>
    </row>
    <row r="6">
      <c r="A6" t="inlineStr">
        <is>
          <t>19/05/2026</t>
        </is>
      </c>
      <c r="B6" s="21" t="inlineStr">
        <is>
          <t>VAR-004 raised - distributor reassignment causing dup facts, worked eg DIST-W-0241</t>
        </is>
      </c>
    </row>
    <row r="7">
      <c r="A7" t="inlineStr">
        <is>
          <t>24-Apr-26</t>
        </is>
      </c>
      <c r="B7" s="21" t="inlineStr">
        <is>
          <t>VAR-005 raised - credit notes gap flagged by Shalini during April close</t>
        </is>
      </c>
    </row>
    <row r="8">
      <c r="A8" t="inlineStr">
        <is>
          <t>12-Jun-26</t>
        </is>
      </c>
      <c r="B8" s="21" t="inlineStr">
        <is>
          <t>VAR-001 and VAR-002 fixes deployed (CHG0021184, CHG0021207). closing both.</t>
        </is>
      </c>
    </row>
    <row r="9">
      <c r="A9" t="inlineStr">
        <is>
          <t>18/06/2026</t>
        </is>
      </c>
      <c r="B9" s="21" t="inlineStr">
        <is>
          <t>VAR-006, VAR-007 added from DQ assessment readout with Neha</t>
        </is>
      </c>
    </row>
    <row r="10">
      <c r="A10" t="inlineStr">
        <is>
          <t>21/07/2026</t>
        </is>
      </c>
      <c r="B10" s="21" t="inlineStr">
        <is>
          <t>VAR-005 impact figure updated after validation against TB. supersedes earlier estimate.</t>
        </is>
      </c>
    </row>
    <row r="11">
      <c r="A11" t="inlineStr">
        <is>
          <t>28-Aug-26</t>
        </is>
      </c>
      <c r="B11" s="21" t="inlineStr">
        <is>
          <t>VAR-006 closed - DIM_TAX_RATE live</t>
        </is>
      </c>
    </row>
    <row r="12">
      <c r="A12" t="inlineStr">
        <is>
          <t>02/09/2026</t>
        </is>
      </c>
      <c r="B12" s="21" t="inlineStr">
        <is>
          <t>chased Ani and Karthik again for a target date on VAR-003, still TBC</t>
        </is>
      </c>
    </row>
    <row r="13">
      <c r="A13" t="inlineStr">
        <is>
          <t>18-Sep-26</t>
        </is>
      </c>
      <c r="B13" s="21" t="inlineStr">
        <is>
          <t>tracker refreshed for steerco pack, this is v7. pls do not send v6 around, it is stale</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2" customWidth="1" min="1" max="1"/>
    <col width="22" customWidth="1" min="2" max="2"/>
    <col width="26" customWidth="1" min="3" max="3"/>
  </cols>
  <sheetData>
    <row r="1">
      <c r="A1" s="14" t="inlineStr">
        <is>
          <t>Variance Summary - as of 18-Sep-2026 (v7)</t>
        </is>
      </c>
    </row>
    <row r="3">
      <c r="A3" s="18" t="inlineStr">
        <is>
          <t>Status counts</t>
        </is>
      </c>
    </row>
    <row r="4">
      <c r="A4" s="22" t="inlineStr">
        <is>
          <t>Status</t>
        </is>
      </c>
      <c r="B4" s="22" t="inlineStr">
        <is>
          <t>Count (live formula)</t>
        </is>
      </c>
      <c r="C4" s="22" t="inlineStr">
        <is>
          <t>Count (reported to steerco)</t>
        </is>
      </c>
    </row>
    <row r="5">
      <c r="A5" t="inlineStr">
        <is>
          <t>Closed</t>
        </is>
      </c>
      <c r="B5">
        <f>COUNTIF(Register!$G$3:$G$10,"Closed")</f>
        <v/>
      </c>
      <c r="C5" t="n">
        <v>4</v>
      </c>
    </row>
    <row r="6">
      <c r="A6" t="inlineStr">
        <is>
          <t>Open</t>
        </is>
      </c>
      <c r="B6">
        <f>COUNTIF(Register!$G$3:$G$10,"Open")</f>
        <v/>
      </c>
      <c r="C6" t="n">
        <v>5</v>
      </c>
    </row>
    <row r="7">
      <c r="A7" s="18" t="inlineStr">
        <is>
          <t>Total</t>
        </is>
      </c>
      <c r="B7">
        <f>B5+B6</f>
        <v/>
      </c>
      <c r="C7">
        <f>C5+C6</f>
        <v/>
      </c>
    </row>
    <row r="8">
      <c r="A8" s="13" t="inlineStr">
        <is>
          <t>counts in col C are from the last circulated draft, not reconciled to Register this week</t>
        </is>
      </c>
    </row>
    <row r="10">
      <c r="A10" s="18" t="inlineStr">
        <is>
          <t>Impact totals</t>
        </is>
      </c>
    </row>
    <row r="11">
      <c r="A11" s="22" t="inlineStr">
        <is>
          <t>Category</t>
        </is>
      </c>
      <c r="B11" s="22" t="inlineStr">
        <is>
          <t>Reported (Cr)</t>
        </is>
      </c>
      <c r="C11" s="22" t="inlineStr">
        <is>
          <t>Register sum (INR, live)</t>
        </is>
      </c>
    </row>
    <row r="12">
      <c r="A12" t="inlineStr">
        <is>
          <t>Closed</t>
        </is>
      </c>
      <c r="B12" s="23" t="n">
        <v>8.4</v>
      </c>
      <c r="C12" s="19">
        <f>SUMIF(Register!$G$3:$G$10,"Closed",Register!$E$3:$E$10)</f>
        <v/>
      </c>
    </row>
    <row r="13">
      <c r="A13" t="inlineStr">
        <is>
          <t>Open</t>
        </is>
      </c>
      <c r="B13" s="23" t="n">
        <v>5.45</v>
      </c>
      <c r="C13" s="19">
        <f>SUMIF(Register!$G$3:$G$10,"Open",Register!$E$3:$E$10)</f>
        <v/>
      </c>
    </row>
    <row r="14">
      <c r="A14" s="18" t="inlineStr">
        <is>
          <t>Total</t>
        </is>
      </c>
      <c r="B14" s="24" t="n">
        <v>13.85</v>
      </c>
      <c r="C14" s="25">
        <f>SUM(Register!$E$3:$E$10)</f>
        <v/>
      </c>
    </row>
    <row r="16" ht="48" customHeight="1">
      <c r="A16" s="26" t="inlineStr">
        <is>
          <t>note: reported column is what went in the steerco pack, rounded per variance to 2 decimals. live sum pulls the exact rupee figures off Register incl VAR-005 at 3.11 Cr, so it will not tie exactly to the reported 13.85 - this is normal, do not try to force it, ask Shalini if unsure</t>
        </is>
      </c>
    </row>
  </sheetData>
  <mergeCells count="2">
    <mergeCell ref="A1:C1"/>
    <mergeCell ref="A16:C16"/>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Sneha Pillai</dc:creator>
  <dc:title xmlns:dc="http://purl.org/dc/elements/1.1/">XL-01 Variance Tracker v7</dc:title>
  <dc:description xmlns:dc="http://purl.org/dc/elements/1.1/">SYNTHETIC — generated for internal demo. No real entity depicted.</dc:description>
  <dc:subject xmlns:dc="http://purl.org/dc/elements/1.1/">Project Drishti variance tracker</dc:subject>
  <dcterms:created xmlns:dcterms="http://purl.org/dc/terms/" xmlns:xsi="http://www.w3.org/2001/XMLSchema-instance" xsi:type="dcterms:W3CDTF">2026-08-22T23:29:07Z</dcterms:created>
  <dcterms:modified xmlns:dcterms="http://purl.org/dc/terms/" xmlns:xsi="http://www.w3.org/2001/XMLSchema-instance" xsi:type="dcterms:W3CDTF">2026-08-22T23:29:07Z</dcterms:modified>
  <cp:keywords>variance tracker, project drishti</cp:keywords>
</cp:coreProperties>
</file>