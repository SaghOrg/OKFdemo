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STOMER" sheetId="2" state="visible" r:id="rId2"/>
    <sheet xmlns:r="http://schemas.openxmlformats.org/officeDocument/2006/relationships" name="CUST_TERR_HIST" sheetId="3" state="visible" r:id="rId3"/>
    <sheet xmlns:r="http://schemas.openxmlformats.org/officeDocument/2006/relationships" name="SKU_MASTER" sheetId="4" state="visible" r:id="rId4"/>
    <sheet xmlns:r="http://schemas.openxmlformats.org/officeDocument/2006/relationships" name="INVOICE_HEADER" sheetId="5" state="visible" r:id="rId5"/>
    <sheet xmlns:r="http://schemas.openxmlformats.org/officeDocument/2006/relationships" name="INVOICE_LINE" sheetId="6" state="visible" r:id="rId6"/>
    <sheet xmlns:r="http://schemas.openxmlformats.org/officeDocument/2006/relationships" name="ORDER_HEADER" sheetId="7" state="visible" r:id="rId7"/>
    <sheet xmlns:r="http://schemas.openxmlformats.org/officeDocument/2006/relationships" name="ORDER_LINE" sheetId="8" state="visible" r:id="rId8"/>
    <sheet xmlns:r="http://schemas.openxmlformats.org/officeDocument/2006/relationships" name="DIM_CUSTOMER" sheetId="9" state="visible" r:id="rId9"/>
    <sheet xmlns:r="http://schemas.openxmlformats.org/officeDocument/2006/relationships" name="FACT_SEC_SALES" sheetId="10" state="visible" r:id="rId10"/>
    <sheet xmlns:r="http://schemas.openxmlformats.org/officeDocument/2006/relationships" name="TAX_RATE_MASTER" sheetId="11" state="visible" r:id="rId11"/>
    <sheet xmlns:r="http://schemas.openxmlformats.org/officeDocument/2006/relationships" name="DIM_PRODUCT_DRAFT" sheetId="12" state="visible" r:id="rId12"/>
  </sheets>
  <definedNames>
    <definedName name="_xlnm._FilterDatabase" localSheetId="1" hidden="1">'CUSTOMER'!$A$2:$J$16</definedName>
    <definedName name="_xlnm._FilterDatabase" localSheetId="2" hidden="1">'CUST_TERR_HIST'!$A$3:$J$13</definedName>
    <definedName name="_xlnm._FilterDatabase" localSheetId="3" hidden="1">'SKU_MASTER'!$A$2:$J$17</definedName>
    <definedName name="_xlnm._FilterDatabase" localSheetId="4" hidden="1">'INVOICE_HEADER'!$A$2:$J$18</definedName>
    <definedName name="_xlnm._FilterDatabase" localSheetId="5" hidden="1">'INVOICE_LINE'!$A$3:$J$22</definedName>
    <definedName name="_xlnm._FilterDatabase" localSheetId="6" hidden="1">'ORDER_HEADER'!$A$2:$J$14</definedName>
    <definedName name="_xlnm._FilterDatabase" localSheetId="7" hidden="1">'ORDER_LINE'!$A$3:$J$15</definedName>
    <definedName name="_xlnm._FilterDatabase" localSheetId="8" hidden="1">'DIM_CUSTOMER'!$A$3:$J$18</definedName>
    <definedName name="_xlnm._FilterDatabase" localSheetId="9" hidden="1">'FACT_SEC_SALES'!$A$3:$J$13</definedName>
    <definedName name="_xlnm._FilterDatabase" localSheetId="10" hidden="1">'TAX_RATE_MASTER'!$A$3:$J$6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i val="1"/>
      <sz val="9"/>
    </font>
    <font>
      <i val="1"/>
      <color rgb="009C5700"/>
      <sz val="9"/>
    </font>
    <font>
      <b val="1"/>
      <sz val="15"/>
    </font>
    <font>
      <b val="1"/>
    </font>
    <font>
      <i val="1"/>
      <color rgb="00808080"/>
      <sz val="8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1F3864"/>
        <bgColor rgb="001F3864"/>
      </patternFill>
    </fill>
    <fill>
      <patternFill patternType="solid">
        <fgColor rgb="00DDEBF7"/>
        <bgColor rgb="00DDEBF7"/>
      </patternFill>
    </fill>
    <fill>
      <patternFill patternType="solid">
        <fgColor rgb="00F8CBCB"/>
        <bgColor rgb="00F8CBCB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5" borderId="1" pivotButton="0" quotePrefix="0" xfId="0"/>
    <xf numFmtId="3" fontId="0" fillId="5" borderId="1" pivotButton="0" quotePrefix="0" xfId="0"/>
    <xf numFmtId="164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1" fillId="6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26" customWidth="1" min="3" max="3"/>
  </cols>
  <sheetData>
    <row r="1" ht="24" customHeight="1">
      <c r="A1" s="1" t="inlineStr">
        <is>
          <t>Project Drishti - DQ Profiling Results</t>
        </is>
      </c>
    </row>
    <row r="3">
      <c r="A3" s="2" t="inlineStr">
        <is>
          <t>Prepared by</t>
        </is>
      </c>
      <c r="B3" t="inlineStr">
        <is>
          <t>Neha Gokhale, Data Quality Lead, Northlane Analytics</t>
        </is>
      </c>
    </row>
    <row r="4">
      <c r="A4" s="2" t="inlineStr">
        <is>
          <t>Profiling run date</t>
        </is>
      </c>
      <c r="B4" t="inlineStr">
        <is>
          <t>31-May-2026</t>
        </is>
      </c>
    </row>
    <row r="5" ht="44" customHeight="1">
      <c r="A5" s="2" t="inlineStr">
        <is>
          <t>Scope</t>
        </is>
      </c>
      <c r="B5" s="3" t="inlineStr">
        <is>
          <t>14 tables profiled across ORION (OMS_PROD/FIN_PROD) and BCPL_EDW this run. This workbook carries the tables most relevant to the current variance list; the rest are in the full run output, not reproduced here.</t>
        </is>
      </c>
    </row>
    <row r="6" ht="30" customHeight="1">
      <c r="A6" s="2" t="inlineStr">
        <is>
          <t>Rules</t>
        </is>
      </c>
      <c r="B6" s="3" t="inlineStr">
        <is>
          <t>DQ-R-01 to DQ-R-24 defined. see individual tabs for the ones that apply. against which rule - always ask, do not accept a defect report without one</t>
        </is>
      </c>
    </row>
    <row r="8">
      <c r="A8" s="2" t="inlineStr">
        <is>
          <t>Tabs in this workbook</t>
        </is>
      </c>
    </row>
    <row r="9">
      <c r="A9" t="inlineStr">
        <is>
          <t>CUSTOMER</t>
        </is>
      </c>
      <c r="B9" t="inlineStr">
        <is>
          <t>OMS_PROD.CUSTOMER</t>
        </is>
      </c>
      <c r="C9" t="inlineStr">
        <is>
          <t>14 column(s) profiled</t>
        </is>
      </c>
    </row>
    <row r="10">
      <c r="A10" t="inlineStr">
        <is>
          <t>CUST_TERR_HIST</t>
        </is>
      </c>
      <c r="B10" t="inlineStr">
        <is>
          <t>OMS_PROD.CUSTOMER_TERRITORY_HIST</t>
        </is>
      </c>
      <c r="C10" t="inlineStr">
        <is>
          <t>10 column(s) profiled</t>
        </is>
      </c>
    </row>
    <row r="11">
      <c r="A11" t="inlineStr">
        <is>
          <t>SKU_MASTER</t>
        </is>
      </c>
      <c r="B11" t="inlineStr">
        <is>
          <t>OMS_PROD.SKU_MASTER</t>
        </is>
      </c>
      <c r="C11" t="inlineStr">
        <is>
          <t>15 column(s) profiled</t>
        </is>
      </c>
    </row>
    <row r="12">
      <c r="A12" t="inlineStr">
        <is>
          <t>INVOICE_HEADER</t>
        </is>
      </c>
      <c r="B12" t="inlineStr">
        <is>
          <t>OMS_PROD.INVOICE_HEADER</t>
        </is>
      </c>
      <c r="C12" t="inlineStr">
        <is>
          <t>16 column(s) profiled</t>
        </is>
      </c>
    </row>
    <row r="13">
      <c r="A13" t="inlineStr">
        <is>
          <t>INVOICE_LINE</t>
        </is>
      </c>
      <c r="B13" t="inlineStr">
        <is>
          <t>OMS_PROD.INVOICE_LINE</t>
        </is>
      </c>
      <c r="C13" t="inlineStr">
        <is>
          <t>19 column(s) profiled</t>
        </is>
      </c>
    </row>
    <row r="14">
      <c r="A14" t="inlineStr">
        <is>
          <t>ORDER_HEADER</t>
        </is>
      </c>
      <c r="B14" t="inlineStr">
        <is>
          <t>OMS_PROD.ORDER_HEADER</t>
        </is>
      </c>
      <c r="C14" t="inlineStr">
        <is>
          <t>12 column(s) profiled</t>
        </is>
      </c>
    </row>
    <row r="15">
      <c r="A15" t="inlineStr">
        <is>
          <t>ORDER_LINE</t>
        </is>
      </c>
      <c r="B15" t="inlineStr">
        <is>
          <t>OMS_PROD.ORDER_LINE</t>
        </is>
      </c>
      <c r="C15" t="inlineStr">
        <is>
          <t>12 column(s) profiled</t>
        </is>
      </c>
    </row>
    <row r="16">
      <c r="A16" t="inlineStr">
        <is>
          <t>DIM_CUSTOMER</t>
        </is>
      </c>
      <c r="B16" t="inlineStr">
        <is>
          <t>BCPL_EDW.DIM_CUSTOMER</t>
        </is>
      </c>
      <c r="C16" t="inlineStr">
        <is>
          <t>15 column(s) profiled</t>
        </is>
      </c>
    </row>
    <row r="17">
      <c r="A17" t="inlineStr">
        <is>
          <t>FACT_SEC_SALES</t>
        </is>
      </c>
      <c r="B17" t="inlineStr">
        <is>
          <t>BCPL_EDW.FACT_SECONDARY_SALES</t>
        </is>
      </c>
      <c r="C17" t="inlineStr">
        <is>
          <t>10 column(s) profiled</t>
        </is>
      </c>
    </row>
    <row r="18">
      <c r="A18" t="inlineStr">
        <is>
          <t>TAX_RATE_MASTER</t>
        </is>
      </c>
      <c r="B18" t="inlineStr">
        <is>
          <t>BCPL_EDW.TAX_RATE_MASTER</t>
        </is>
      </c>
      <c r="C18" t="inlineStr">
        <is>
          <t>3 column(s) profiled</t>
        </is>
      </c>
    </row>
    <row r="19">
      <c r="A19" t="inlineStr">
        <is>
          <t>DIM_PRODUCT_DRAFT</t>
        </is>
      </c>
      <c r="B19" t="inlineStr">
        <is>
          <t>BCPL_EDW.DIM_PRODUCT</t>
        </is>
      </c>
      <c r="C19" t="inlineStr">
        <is>
          <t>not finished - see tab</t>
        </is>
      </c>
    </row>
    <row r="21">
      <c r="A21" s="2" t="inlineStr">
        <is>
          <t>Quick checks (live formulas)</t>
        </is>
      </c>
    </row>
    <row r="22">
      <c r="A22" t="inlineStr">
        <is>
          <t>Total PATTERN_FAIL_COUNT, INVOICE_LINE tab</t>
        </is>
      </c>
      <c r="B22">
        <f>SUM(INVOICE_LINE!I4:I22)</f>
        <v/>
      </c>
    </row>
    <row r="23">
      <c r="A23" t="inlineStr">
        <is>
          <t>Columns with any NULLs, SKU_MASTER tab (COUNTIF)</t>
        </is>
      </c>
      <c r="B23">
        <f>COUNTIF(SKU_MASTER!D3:D17,"&gt;0")</f>
        <v/>
      </c>
    </row>
    <row r="24">
      <c r="A24" t="inlineStr">
        <is>
          <t>Columns with any NULLs, CUSTOMER tab (COUNTIF)</t>
        </is>
      </c>
      <c r="B24">
        <f>COUNTIF(CUSTOMER!D3:D16,"&gt;0")</f>
        <v/>
      </c>
    </row>
    <row r="27">
      <c r="A27" s="4" t="inlineStr">
        <is>
          <t>SYNTHETIC — generated for internal demo. No real entity depicted.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9" customWidth="1" min="5" max="5"/>
    <col width="12" customWidth="1" min="6" max="6"/>
    <col width="14" customWidth="1" min="7" max="7"/>
    <col width="14" customWidth="1" min="8" max="8"/>
    <col width="10" customWidth="1" min="9" max="9"/>
    <col width="48" customWidth="1" min="10" max="10"/>
  </cols>
  <sheetData>
    <row r="1" ht="20" customHeight="1">
      <c r="A1" s="5" t="inlineStr">
        <is>
          <t>OMS_PROD.CUSTOMER  -  profiling run 31-May-2026  -  2,140 rows</t>
        </is>
      </c>
    </row>
    <row r="2">
      <c r="A2" s="6" t="inlineStr">
        <is>
          <t>COLUMN_NAME</t>
        </is>
      </c>
      <c r="B2" s="6" t="inlineStr">
        <is>
          <t>DATA_TYPE</t>
        </is>
      </c>
      <c r="C2" s="6" t="inlineStr">
        <is>
          <t>ROW_COUNT</t>
        </is>
      </c>
      <c r="D2" s="6" t="inlineStr">
        <is>
          <t>NULL_COUNT</t>
        </is>
      </c>
      <c r="E2" s="6" t="inlineStr">
        <is>
          <t>NULL_PCT</t>
        </is>
      </c>
      <c r="F2" s="6" t="inlineStr">
        <is>
          <t>DISTINCT_COUNT</t>
        </is>
      </c>
      <c r="G2" s="6" t="inlineStr">
        <is>
          <t>MIN</t>
        </is>
      </c>
      <c r="H2" s="6" t="inlineStr">
        <is>
          <t>MAX</t>
        </is>
      </c>
      <c r="I2" s="6" t="inlineStr">
        <is>
          <t>PATTERN_FAIL_COUNT</t>
        </is>
      </c>
      <c r="J2" s="6" t="inlineStr">
        <is>
          <t>NOTES</t>
        </is>
      </c>
    </row>
    <row r="3" ht="30" customHeight="1">
      <c r="A3" s="7" t="inlineStr">
        <is>
          <t>CUST_ID</t>
        </is>
      </c>
      <c r="B3" s="7" t="inlineStr">
        <is>
          <t>NUMBER(10)</t>
        </is>
      </c>
      <c r="C3" s="8" t="n">
        <v>2140</v>
      </c>
      <c r="D3" s="8" t="n">
        <v>0</v>
      </c>
      <c r="E3" s="9" t="n">
        <v>0</v>
      </c>
      <c r="F3" s="8" t="n">
        <v>2140</v>
      </c>
      <c r="G3" s="7" t="n">
        <v>100001</v>
      </c>
      <c r="H3" s="7" t="n">
        <v>102140</v>
      </c>
      <c r="I3" s="8" t="n">
        <v>0</v>
      </c>
      <c r="J3" s="10" t="inlineStr">
        <is>
          <t>PK. clean.</t>
        </is>
      </c>
    </row>
    <row r="4" ht="30" customHeight="1">
      <c r="A4" s="7" t="inlineStr">
        <is>
          <t>CUST_CODE</t>
        </is>
      </c>
      <c r="B4" s="7" t="inlineStr">
        <is>
          <t>VARCHAR2(20)</t>
        </is>
      </c>
      <c r="C4" s="8" t="n">
        <v>2140</v>
      </c>
      <c r="D4" s="8" t="n">
        <v>0</v>
      </c>
      <c r="E4" s="9" t="n">
        <v>0</v>
      </c>
      <c r="F4" s="8" t="n">
        <v>2140</v>
      </c>
      <c r="G4" s="7" t="inlineStr">
        <is>
          <t>CUST-000001</t>
        </is>
      </c>
      <c r="H4" s="7" t="inlineStr">
        <is>
          <t>CUST-002140</t>
        </is>
      </c>
      <c r="I4" s="8" t="n">
        <v>0</v>
      </c>
      <c r="J4" s="10" t="inlineStr"/>
    </row>
    <row r="5" ht="30" customHeight="1">
      <c r="A5" s="7" t="inlineStr">
        <is>
          <t>CUST_NAME</t>
        </is>
      </c>
      <c r="B5" s="7" t="inlineStr">
        <is>
          <t>VARCHAR2(120)</t>
        </is>
      </c>
      <c r="C5" s="8" t="n">
        <v>2140</v>
      </c>
      <c r="D5" s="8" t="n">
        <v>0</v>
      </c>
      <c r="E5" s="9" t="n">
        <v>0</v>
      </c>
      <c r="F5" s="8" t="n">
        <v>2134</v>
      </c>
      <c r="G5" s="7" t="inlineStr"/>
      <c r="H5" s="7" t="inlineStr"/>
      <c r="I5" s="8" t="n">
        <v>0</v>
      </c>
      <c r="J5" s="10" t="inlineStr">
        <is>
          <t>6 name collisions, looks like re-entry of the same distributor under a slightly different spelling. not chased yet</t>
        </is>
      </c>
    </row>
    <row r="6" ht="30" customHeight="1">
      <c r="A6" s="7" t="inlineStr">
        <is>
          <t>CUST_TYPE</t>
        </is>
      </c>
      <c r="B6" s="7" t="inlineStr">
        <is>
          <t>VARCHAR2(20)</t>
        </is>
      </c>
      <c r="C6" s="8" t="n">
        <v>2140</v>
      </c>
      <c r="D6" s="8" t="n">
        <v>3</v>
      </c>
      <c r="E6" s="9" t="n">
        <v>0.001401869158878505</v>
      </c>
      <c r="F6" s="8" t="n">
        <v>3</v>
      </c>
      <c r="G6" s="7" t="inlineStr">
        <is>
          <t>DISTRIBUTOR</t>
        </is>
      </c>
      <c r="H6" s="7" t="inlineStr">
        <is>
          <t>MODERN_TRADE</t>
        </is>
      </c>
      <c r="I6" s="8" t="n">
        <v>0</v>
      </c>
      <c r="J6" s="10" t="inlineStr"/>
    </row>
    <row r="7" ht="30" customHeight="1">
      <c r="A7" s="7" t="inlineStr">
        <is>
          <t>TERRITORY_CD</t>
        </is>
      </c>
      <c r="B7" s="7" t="inlineStr">
        <is>
          <t>VARCHAR2(12)</t>
        </is>
      </c>
      <c r="C7" s="8" t="n">
        <v>2140</v>
      </c>
      <c r="D7" s="8" t="n">
        <v>17</v>
      </c>
      <c r="E7" s="9" t="n">
        <v>0.00794392523364486</v>
      </c>
      <c r="F7" s="8" t="n">
        <v>118</v>
      </c>
      <c r="G7" s="7" t="inlineStr">
        <is>
          <t>TER-E-001</t>
        </is>
      </c>
      <c r="H7" s="7" t="inlineStr">
        <is>
          <t>TER-W-041</t>
        </is>
      </c>
      <c r="I7" s="8" t="n">
        <v>0</v>
      </c>
      <c r="J7" s="10" t="inlineStr"/>
    </row>
    <row r="8" ht="30" customHeight="1">
      <c r="A8" s="7" t="inlineStr">
        <is>
          <t>DEPOT_CD</t>
        </is>
      </c>
      <c r="B8" s="7" t="inlineStr">
        <is>
          <t>VARCHAR2(12)</t>
        </is>
      </c>
      <c r="C8" s="8" t="n">
        <v>2140</v>
      </c>
      <c r="D8" s="8" t="n">
        <v>4</v>
      </c>
      <c r="E8" s="9" t="n">
        <v>0.001869158878504673</v>
      </c>
      <c r="F8" s="8" t="n">
        <v>22</v>
      </c>
      <c r="G8" s="7" t="inlineStr">
        <is>
          <t>DEP-001</t>
        </is>
      </c>
      <c r="H8" s="7" t="inlineStr">
        <is>
          <t>DEP-022</t>
        </is>
      </c>
      <c r="I8" s="8" t="n">
        <v>0</v>
      </c>
      <c r="J8" s="10" t="inlineStr"/>
    </row>
    <row r="9" ht="30" customHeight="1">
      <c r="A9" s="7" t="inlineStr">
        <is>
          <t>CREDIT_LIMIT</t>
        </is>
      </c>
      <c r="B9" s="7" t="inlineStr">
        <is>
          <t>NUMBER(14,2)</t>
        </is>
      </c>
      <c r="C9" s="8" t="n">
        <v>2140</v>
      </c>
      <c r="D9" s="8" t="n">
        <v>25</v>
      </c>
      <c r="E9" s="9" t="n">
        <v>0.01168224299065421</v>
      </c>
      <c r="F9" s="8" t="n">
        <v>1294</v>
      </c>
      <c r="G9" s="7" t="n">
        <v>50000</v>
      </c>
      <c r="H9" s="7" t="n">
        <v>25000000</v>
      </c>
      <c r="I9" s="8" t="n">
        <v>0</v>
      </c>
      <c r="J9" s="10" t="inlineStr"/>
    </row>
    <row r="10" ht="30" customHeight="1">
      <c r="A10" s="7" t="inlineStr">
        <is>
          <t>STATUS_FLG</t>
        </is>
      </c>
      <c r="B10" s="7" t="inlineStr">
        <is>
          <t>CHAR(1)</t>
        </is>
      </c>
      <c r="C10" s="8" t="n">
        <v>2140</v>
      </c>
      <c r="D10" s="8" t="n">
        <v>0</v>
      </c>
      <c r="E10" s="9" t="n">
        <v>0</v>
      </c>
      <c r="F10" s="8" t="n">
        <v>2</v>
      </c>
      <c r="G10" s="7" t="inlineStr">
        <is>
          <t>A</t>
        </is>
      </c>
      <c r="H10" s="7" t="inlineStr">
        <is>
          <t>I</t>
        </is>
      </c>
      <c r="I10" s="8" t="n">
        <v>0</v>
      </c>
      <c r="J10" s="10" t="inlineStr">
        <is>
          <t>2,061 A / 79 I on this run.</t>
        </is>
      </c>
    </row>
    <row r="11" ht="30" customHeight="1">
      <c r="A11" s="7" t="inlineStr">
        <is>
          <t>CREATED_BY</t>
        </is>
      </c>
      <c r="B11" s="7" t="inlineStr">
        <is>
          <t>VARCHAR2(30)</t>
        </is>
      </c>
      <c r="C11" s="8" t="n">
        <v>2140</v>
      </c>
      <c r="D11" s="8" t="n">
        <v>0</v>
      </c>
      <c r="E11" s="9" t="n">
        <v>0</v>
      </c>
      <c r="F11" s="8" t="n">
        <v>6</v>
      </c>
      <c r="G11" s="7" t="inlineStr"/>
      <c r="H11" s="7" t="inlineStr"/>
      <c r="I11" s="8" t="n">
        <v>0</v>
      </c>
      <c r="J11" s="10" t="inlineStr"/>
    </row>
    <row r="12" ht="30" customHeight="1">
      <c r="A12" s="7" t="inlineStr">
        <is>
          <t>CREATED_DT</t>
        </is>
      </c>
      <c r="B12" s="7" t="inlineStr">
        <is>
          <t>DATE</t>
        </is>
      </c>
      <c r="C12" s="8" t="n">
        <v>2140</v>
      </c>
      <c r="D12" s="8" t="n">
        <v>11</v>
      </c>
      <c r="E12" s="9" t="n">
        <v>0.005140186915887851</v>
      </c>
      <c r="F12" s="8" t="n">
        <v>1915</v>
      </c>
      <c r="G12" s="7" t="inlineStr">
        <is>
          <t>14-Jun-2011</t>
        </is>
      </c>
      <c r="H12" s="7" t="inlineStr">
        <is>
          <t>20-May-2026</t>
        </is>
      </c>
      <c r="I12" s="8" t="n">
        <v>0</v>
      </c>
      <c r="J12" s="10" t="inlineStr"/>
    </row>
    <row r="13" ht="30" customHeight="1">
      <c r="A13" s="7" t="inlineStr">
        <is>
          <t>LAST_UPD_BY</t>
        </is>
      </c>
      <c r="B13" s="7" t="inlineStr">
        <is>
          <t>VARCHAR2(30)</t>
        </is>
      </c>
      <c r="C13" s="8" t="n">
        <v>2140</v>
      </c>
      <c r="D13" s="8" t="n">
        <v>2</v>
      </c>
      <c r="E13" s="9" t="n">
        <v>0.0009345794392523365</v>
      </c>
      <c r="F13" s="8" t="n">
        <v>9</v>
      </c>
      <c r="G13" s="7" t="inlineStr"/>
      <c r="H13" s="7" t="inlineStr"/>
      <c r="I13" s="8" t="n">
        <v>0</v>
      </c>
      <c r="J13" s="10" t="inlineStr"/>
    </row>
    <row r="14" ht="30" customHeight="1">
      <c r="A14" s="7" t="inlineStr">
        <is>
          <t>LAST_UPD_DT</t>
        </is>
      </c>
      <c r="B14" s="7" t="inlineStr">
        <is>
          <t>DATE</t>
        </is>
      </c>
      <c r="C14" s="8" t="n">
        <v>2140</v>
      </c>
      <c r="D14" s="8" t="n">
        <v>16</v>
      </c>
      <c r="E14" s="9" t="n">
        <v>0.007476635514018692</v>
      </c>
      <c r="F14" s="8" t="n">
        <v>1786</v>
      </c>
      <c r="G14" s="7" t="inlineStr">
        <is>
          <t>02-Jan-2012</t>
        </is>
      </c>
      <c r="H14" s="7" t="inlineStr">
        <is>
          <t>31-May-2026</t>
        </is>
      </c>
      <c r="I14" s="8" t="n">
        <v>0</v>
      </c>
      <c r="J14" s="10" t="inlineStr"/>
    </row>
    <row r="15" ht="30" customHeight="1">
      <c r="A15" s="7" t="inlineStr">
        <is>
          <t>ACTIVE_FLG</t>
        </is>
      </c>
      <c r="B15" s="7" t="inlineStr">
        <is>
          <t>CHAR(1)</t>
        </is>
      </c>
      <c r="C15" s="8" t="n">
        <v>2140</v>
      </c>
      <c r="D15" s="8" t="n">
        <v>0</v>
      </c>
      <c r="E15" s="9" t="n">
        <v>0</v>
      </c>
      <c r="F15" s="8" t="n">
        <v>2</v>
      </c>
      <c r="G15" s="7" t="inlineStr">
        <is>
          <t>N</t>
        </is>
      </c>
      <c r="H15" s="7" t="inlineStr">
        <is>
          <t>Y</t>
        </is>
      </c>
      <c r="I15" s="8" t="n">
        <v>0</v>
      </c>
      <c r="J15" s="10" t="inlineStr"/>
    </row>
    <row r="16" ht="30" customHeight="1">
      <c r="A16" s="7" t="inlineStr">
        <is>
          <t>DELETE_FLAG</t>
        </is>
      </c>
      <c r="B16" s="7" t="inlineStr">
        <is>
          <t>CHAR(1)</t>
        </is>
      </c>
      <c r="C16" s="8" t="n">
        <v>2140</v>
      </c>
      <c r="D16" s="8" t="n">
        <v>1928</v>
      </c>
      <c r="E16" s="9" t="n">
        <v>0.9009345794392524</v>
      </c>
      <c r="F16" s="8" t="n">
        <v>2</v>
      </c>
      <c r="G16" s="7" t="inlineStr">
        <is>
          <t>N</t>
        </is>
      </c>
      <c r="H16" s="7" t="inlineStr">
        <is>
          <t>Y</t>
        </is>
      </c>
      <c r="I16" s="8" t="n">
        <v>0</v>
      </c>
      <c r="J16" s="10" t="inlineStr">
        <is>
          <t>mostly null on this table, this flag matters much more on INVOICE_LINE. against which rule - not scored here, informational only</t>
        </is>
      </c>
    </row>
  </sheetData>
  <autoFilter ref="A2:J16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9" customWidth="1" min="5" max="5"/>
    <col width="12" customWidth="1" min="6" max="6"/>
    <col width="14" customWidth="1" min="7" max="7"/>
    <col width="14" customWidth="1" min="8" max="8"/>
    <col width="10" customWidth="1" min="9" max="9"/>
    <col width="48" customWidth="1" min="10" max="10"/>
  </cols>
  <sheetData>
    <row r="1" ht="20" customHeight="1">
      <c r="A1" s="5" t="inlineStr">
        <is>
          <t>OMS_PROD.CUSTOMER_TERRITORY_HIST  -  profiling run 31-May-2026  -  2,282 rows</t>
        </is>
      </c>
    </row>
    <row r="2" ht="30" customHeight="1">
      <c r="A2" s="11" t="inlineStr">
        <is>
          <t>Source-side territory history. No PK, no unique constraint on (CUST_ID, EFF_FROM_DT), no overlap check - see EFF_TO_DT row below.</t>
        </is>
      </c>
    </row>
    <row r="3">
      <c r="A3" s="6" t="inlineStr">
        <is>
          <t>COLUMN_NAME</t>
        </is>
      </c>
      <c r="B3" s="6" t="inlineStr">
        <is>
          <t>DATA_TYPE</t>
        </is>
      </c>
      <c r="C3" s="6" t="inlineStr">
        <is>
          <t>ROW_COUNT</t>
        </is>
      </c>
      <c r="D3" s="6" t="inlineStr">
        <is>
          <t>NULL_COUNT</t>
        </is>
      </c>
      <c r="E3" s="6" t="inlineStr">
        <is>
          <t>NULL_PCT</t>
        </is>
      </c>
      <c r="F3" s="6" t="inlineStr">
        <is>
          <t>DISTINCT_COUNT</t>
        </is>
      </c>
      <c r="G3" s="6" t="inlineStr">
        <is>
          <t>MIN</t>
        </is>
      </c>
      <c r="H3" s="6" t="inlineStr">
        <is>
          <t>MAX</t>
        </is>
      </c>
      <c r="I3" s="6" t="inlineStr">
        <is>
          <t>PATTERN_FAIL_COUNT</t>
        </is>
      </c>
      <c r="J3" s="6" t="inlineStr">
        <is>
          <t>NOTES</t>
        </is>
      </c>
    </row>
    <row r="4" ht="30" customHeight="1">
      <c r="A4" s="7" t="inlineStr">
        <is>
          <t>CUST_ID</t>
        </is>
      </c>
      <c r="B4" s="7" t="inlineStr">
        <is>
          <t>NUMBER(10)</t>
        </is>
      </c>
      <c r="C4" s="8" t="n">
        <v>2282</v>
      </c>
      <c r="D4" s="8" t="n">
        <v>0</v>
      </c>
      <c r="E4" s="9" t="n">
        <v>0</v>
      </c>
      <c r="F4" s="8" t="n">
        <v>2140</v>
      </c>
      <c r="G4" s="7" t="n">
        <v>100001</v>
      </c>
      <c r="H4" s="7" t="n">
        <v>102140</v>
      </c>
      <c r="I4" s="8" t="n">
        <v>0</v>
      </c>
      <c r="J4" s="10" t="inlineStr"/>
    </row>
    <row r="5" ht="30" customHeight="1">
      <c r="A5" s="7" t="inlineStr">
        <is>
          <t>TERRITORY_CD</t>
        </is>
      </c>
      <c r="B5" s="7" t="inlineStr">
        <is>
          <t>VARCHAR2(12)</t>
        </is>
      </c>
      <c r="C5" s="8" t="n">
        <v>2282</v>
      </c>
      <c r="D5" s="8" t="n">
        <v>0</v>
      </c>
      <c r="E5" s="9" t="n">
        <v>0</v>
      </c>
      <c r="F5" s="8" t="n">
        <v>118</v>
      </c>
      <c r="G5" s="7" t="inlineStr">
        <is>
          <t>TER-E-001</t>
        </is>
      </c>
      <c r="H5" s="7" t="inlineStr">
        <is>
          <t>TER-W-041</t>
        </is>
      </c>
      <c r="I5" s="8" t="n">
        <v>0</v>
      </c>
      <c r="J5" s="10" t="inlineStr"/>
    </row>
    <row r="6" ht="30" customHeight="1">
      <c r="A6" s="7" t="inlineStr">
        <is>
          <t>EFF_FROM_DT</t>
        </is>
      </c>
      <c r="B6" s="7" t="inlineStr">
        <is>
          <t>DATE</t>
        </is>
      </c>
      <c r="C6" s="8" t="n">
        <v>2282</v>
      </c>
      <c r="D6" s="8" t="n">
        <v>0</v>
      </c>
      <c r="E6" s="9" t="n">
        <v>0</v>
      </c>
      <c r="F6" s="8" t="n">
        <v>1605</v>
      </c>
      <c r="G6" s="7" t="inlineStr">
        <is>
          <t>14-Jun-2011</t>
        </is>
      </c>
      <c r="H6" s="7" t="inlineStr">
        <is>
          <t>17-Aug-2026</t>
        </is>
      </c>
      <c r="I6" s="8" t="n">
        <v>0</v>
      </c>
      <c r="J6" s="10" t="inlineStr"/>
    </row>
    <row r="7" ht="30" customHeight="1">
      <c r="A7" s="7" t="inlineStr">
        <is>
          <t>EFF_TO_DT</t>
        </is>
      </c>
      <c r="B7" s="7" t="inlineStr">
        <is>
          <t>DATE</t>
        </is>
      </c>
      <c r="C7" s="8" t="n">
        <v>2282</v>
      </c>
      <c r="D7" s="8" t="n">
        <v>2201</v>
      </c>
      <c r="E7" s="9" t="n">
        <v>0.9645048203330412</v>
      </c>
      <c r="F7" s="8" t="n">
        <v>73</v>
      </c>
      <c r="G7" s="7" t="inlineStr"/>
      <c r="H7" s="7" t="inlineStr"/>
      <c r="I7" s="8" t="n">
        <v>0</v>
      </c>
      <c r="J7" s="10" t="inlineStr">
        <is>
          <t>DQ-R-23 (consistency): 61 CUST_ID values have overlapping EFF_FROM_DT/EFF_TO_DT ranges on this table - the source-side half of the VAR-004 story. null here should mean 'currently in force', not 'never closed off'. against which rule - flagged as consistency, not completeness</t>
        </is>
      </c>
    </row>
    <row r="8" ht="30" customHeight="1">
      <c r="A8" s="7" t="inlineStr">
        <is>
          <t>CREATED_BY</t>
        </is>
      </c>
      <c r="B8" s="7" t="inlineStr">
        <is>
          <t>VARCHAR2(30)</t>
        </is>
      </c>
      <c r="C8" s="8" t="n">
        <v>2282</v>
      </c>
      <c r="D8" s="8" t="n">
        <v>22</v>
      </c>
      <c r="E8" s="9" t="n">
        <v>0.009640666082383873</v>
      </c>
      <c r="F8" s="8" t="n">
        <v>7</v>
      </c>
      <c r="G8" s="7" t="inlineStr"/>
      <c r="H8" s="7" t="inlineStr"/>
      <c r="I8" s="8" t="n">
        <v>0</v>
      </c>
      <c r="J8" s="10" t="inlineStr"/>
    </row>
    <row r="9" ht="30" customHeight="1">
      <c r="A9" s="7" t="inlineStr">
        <is>
          <t>CREATED_DT</t>
        </is>
      </c>
      <c r="B9" s="7" t="inlineStr">
        <is>
          <t>DATE</t>
        </is>
      </c>
      <c r="C9" s="8" t="n">
        <v>2282</v>
      </c>
      <c r="D9" s="8" t="n">
        <v>20</v>
      </c>
      <c r="E9" s="9" t="n">
        <v>0.008764241893076249</v>
      </c>
      <c r="F9" s="8" t="n">
        <v>1904</v>
      </c>
      <c r="G9" s="7" t="inlineStr">
        <is>
          <t>14-Jun-2011</t>
        </is>
      </c>
      <c r="H9" s="7" t="inlineStr">
        <is>
          <t>17-Aug-2026</t>
        </is>
      </c>
      <c r="I9" s="8" t="n">
        <v>0</v>
      </c>
      <c r="J9" s="10" t="inlineStr"/>
    </row>
    <row r="10" ht="30" customHeight="1">
      <c r="A10" s="7" t="inlineStr">
        <is>
          <t>LAST_UPD_BY</t>
        </is>
      </c>
      <c r="B10" s="7" t="inlineStr">
        <is>
          <t>VARCHAR2(30)</t>
        </is>
      </c>
      <c r="C10" s="8" t="n">
        <v>2282</v>
      </c>
      <c r="D10" s="8" t="n">
        <v>4</v>
      </c>
      <c r="E10" s="9" t="n">
        <v>0.00175284837861525</v>
      </c>
      <c r="F10" s="8" t="n">
        <v>8</v>
      </c>
      <c r="G10" s="7" t="inlineStr"/>
      <c r="H10" s="7" t="inlineStr"/>
      <c r="I10" s="8" t="n">
        <v>0</v>
      </c>
      <c r="J10" s="10" t="inlineStr"/>
    </row>
    <row r="11" ht="30" customHeight="1">
      <c r="A11" s="7" t="inlineStr">
        <is>
          <t>LAST_UPD_DT</t>
        </is>
      </c>
      <c r="B11" s="7" t="inlineStr">
        <is>
          <t>DATE</t>
        </is>
      </c>
      <c r="C11" s="8" t="n">
        <v>2282</v>
      </c>
      <c r="D11" s="8" t="n">
        <v>34</v>
      </c>
      <c r="E11" s="9" t="n">
        <v>0.01489921121822962</v>
      </c>
      <c r="F11" s="8" t="n">
        <v>2043</v>
      </c>
      <c r="G11" s="7" t="inlineStr">
        <is>
          <t>14-Jun-2011</t>
        </is>
      </c>
      <c r="H11" s="7" t="inlineStr">
        <is>
          <t>17-Aug-2026</t>
        </is>
      </c>
      <c r="I11" s="8" t="n">
        <v>0</v>
      </c>
      <c r="J11" s="10" t="inlineStr"/>
    </row>
    <row r="12" ht="30" customHeight="1">
      <c r="A12" s="7" t="inlineStr">
        <is>
          <t>ACTIVE_FLG</t>
        </is>
      </c>
      <c r="B12" s="7" t="inlineStr">
        <is>
          <t>CHAR(1)</t>
        </is>
      </c>
      <c r="C12" s="8" t="n">
        <v>2282</v>
      </c>
      <c r="D12" s="8" t="n">
        <v>0</v>
      </c>
      <c r="E12" s="9" t="n">
        <v>0</v>
      </c>
      <c r="F12" s="8" t="n">
        <v>2</v>
      </c>
      <c r="G12" s="7" t="inlineStr">
        <is>
          <t>N</t>
        </is>
      </c>
      <c r="H12" s="7" t="inlineStr">
        <is>
          <t>Y</t>
        </is>
      </c>
      <c r="I12" s="8" t="n">
        <v>0</v>
      </c>
      <c r="J12" s="10" t="inlineStr"/>
    </row>
    <row r="13" ht="30" customHeight="1">
      <c r="A13" s="7" t="inlineStr">
        <is>
          <t>DELETE_FLAG</t>
        </is>
      </c>
      <c r="B13" s="7" t="inlineStr">
        <is>
          <t>CHAR(1)</t>
        </is>
      </c>
      <c r="C13" s="8" t="n">
        <v>2282</v>
      </c>
      <c r="D13" s="8" t="n">
        <v>27</v>
      </c>
      <c r="E13" s="9" t="n">
        <v>0.01183172655565294</v>
      </c>
      <c r="F13" s="8" t="n">
        <v>2</v>
      </c>
      <c r="G13" s="7" t="inlineStr">
        <is>
          <t>N</t>
        </is>
      </c>
      <c r="H13" s="7" t="inlineStr">
        <is>
          <t>Y</t>
        </is>
      </c>
      <c r="I13" s="8" t="n">
        <v>0</v>
      </c>
      <c r="J13" s="10" t="inlineStr"/>
    </row>
  </sheetData>
  <autoFilter ref="A3:J13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9" customWidth="1" min="5" max="5"/>
    <col width="12" customWidth="1" min="6" max="6"/>
    <col width="14" customWidth="1" min="7" max="7"/>
    <col width="14" customWidth="1" min="8" max="8"/>
    <col width="10" customWidth="1" min="9" max="9"/>
    <col width="48" customWidth="1" min="10" max="10"/>
  </cols>
  <sheetData>
    <row r="1" ht="20" customHeight="1">
      <c r="A1" s="5" t="inlineStr">
        <is>
          <t>OMS_PROD.SKU_MASTER  -  profiling run 31-May-2026  -  1,246 rows</t>
        </is>
      </c>
    </row>
    <row r="2">
      <c r="A2" s="6" t="inlineStr">
        <is>
          <t>COLUMN_NAME</t>
        </is>
      </c>
      <c r="B2" s="6" t="inlineStr">
        <is>
          <t>DATA_TYPE</t>
        </is>
      </c>
      <c r="C2" s="6" t="inlineStr">
        <is>
          <t>ROW_COUNT</t>
        </is>
      </c>
      <c r="D2" s="6" t="inlineStr">
        <is>
          <t>NULL_COUNT</t>
        </is>
      </c>
      <c r="E2" s="6" t="inlineStr">
        <is>
          <t>NULL_PCT</t>
        </is>
      </c>
      <c r="F2" s="6" t="inlineStr">
        <is>
          <t>DISTINCT_COUNT</t>
        </is>
      </c>
      <c r="G2" s="6" t="inlineStr">
        <is>
          <t>MIN</t>
        </is>
      </c>
      <c r="H2" s="6" t="inlineStr">
        <is>
          <t>MAX</t>
        </is>
      </c>
      <c r="I2" s="6" t="inlineStr">
        <is>
          <t>PATTERN_FAIL_COUNT</t>
        </is>
      </c>
      <c r="J2" s="6" t="inlineStr">
        <is>
          <t>NOTES</t>
        </is>
      </c>
    </row>
    <row r="3" ht="30" customHeight="1">
      <c r="A3" s="7" t="inlineStr">
        <is>
          <t>SKU_ID</t>
        </is>
      </c>
      <c r="B3" s="7" t="inlineStr">
        <is>
          <t>NUMBER(10)</t>
        </is>
      </c>
      <c r="C3" s="8" t="n">
        <v>1246</v>
      </c>
      <c r="D3" s="8" t="n">
        <v>0</v>
      </c>
      <c r="E3" s="9" t="n">
        <v>0</v>
      </c>
      <c r="F3" s="8" t="n">
        <v>1246</v>
      </c>
      <c r="G3" s="7" t="n">
        <v>5001</v>
      </c>
      <c r="H3" s="7" t="n">
        <v>6246</v>
      </c>
      <c r="I3" s="8" t="n">
        <v>0</v>
      </c>
      <c r="J3" s="10" t="inlineStr"/>
    </row>
    <row r="4" ht="30" customHeight="1">
      <c r="A4" s="7" t="inlineStr">
        <is>
          <t>SKU_CODE</t>
        </is>
      </c>
      <c r="B4" s="7" t="inlineStr">
        <is>
          <t>VARCHAR2(30)</t>
        </is>
      </c>
      <c r="C4" s="8" t="n">
        <v>1246</v>
      </c>
      <c r="D4" s="8" t="n">
        <v>0</v>
      </c>
      <c r="E4" s="9" t="n">
        <v>0</v>
      </c>
      <c r="F4" s="8" t="n">
        <v>1246</v>
      </c>
      <c r="G4" s="7" t="inlineStr">
        <is>
          <t>SUV-1001</t>
        </is>
      </c>
      <c r="H4" s="7" t="inlineStr">
        <is>
          <t>RKS-0862</t>
        </is>
      </c>
      <c r="I4" s="8" t="n">
        <v>0</v>
      </c>
      <c r="J4" s="10" t="inlineStr"/>
    </row>
    <row r="5" ht="30" customHeight="1">
      <c r="A5" s="7" t="inlineStr">
        <is>
          <t>SKU_DESC</t>
        </is>
      </c>
      <c r="B5" s="7" t="inlineStr">
        <is>
          <t>VARCHAR2(200)</t>
        </is>
      </c>
      <c r="C5" s="8" t="n">
        <v>1246</v>
      </c>
      <c r="D5" s="8" t="n">
        <v>7</v>
      </c>
      <c r="E5" s="9" t="n">
        <v>0.005617977528089887</v>
      </c>
      <c r="F5" s="8" t="n">
        <v>1239</v>
      </c>
      <c r="G5" s="7" t="inlineStr"/>
      <c r="H5" s="7" t="inlineStr"/>
      <c r="I5" s="8" t="n">
        <v>0</v>
      </c>
      <c r="J5" s="10" t="inlineStr"/>
    </row>
    <row r="6" ht="30" customHeight="1">
      <c r="A6" s="7" t="inlineStr">
        <is>
          <t>BRAND_CD</t>
        </is>
      </c>
      <c r="B6" s="7" t="inlineStr">
        <is>
          <t>VARCHAR2(10)</t>
        </is>
      </c>
      <c r="C6" s="8" t="n">
        <v>1246</v>
      </c>
      <c r="D6" s="8" t="n">
        <v>0</v>
      </c>
      <c r="E6" s="9" t="n">
        <v>0</v>
      </c>
      <c r="F6" s="8" t="n">
        <v>6</v>
      </c>
      <c r="G6" s="7" t="inlineStr">
        <is>
          <t>CHD</t>
        </is>
      </c>
      <c r="H6" s="7" t="inlineStr">
        <is>
          <t>TRG</t>
        </is>
      </c>
      <c r="I6" s="8" t="n">
        <v>0</v>
      </c>
      <c r="J6" s="10" t="inlineStr">
        <is>
          <t>6 brand codes total - SUV NMB KSG CHD TRG RKS. nothing else exists on this table</t>
        </is>
      </c>
    </row>
    <row r="7" ht="30" customHeight="1">
      <c r="A7" s="7" t="inlineStr">
        <is>
          <t>CATEGORY_CD</t>
        </is>
      </c>
      <c r="B7" s="7" t="inlineStr">
        <is>
          <t>VARCHAR2(10)</t>
        </is>
      </c>
      <c r="C7" s="8" t="n">
        <v>1246</v>
      </c>
      <c r="D7" s="8" t="n">
        <v>37</v>
      </c>
      <c r="E7" s="9" t="n">
        <v>0.02969502407704655</v>
      </c>
      <c r="F7" s="8" t="n">
        <v>14</v>
      </c>
      <c r="G7" s="7" t="inlineStr"/>
      <c r="H7" s="7" t="inlineStr"/>
      <c r="I7" s="8" t="n">
        <v>0</v>
      </c>
      <c r="J7" s="10" t="inlineStr">
        <is>
          <t>DQ-R-04 adjacent (completeness). 37 rows have no CATEGORY_CD, no NOT NULL constraint on the column, nobody has fixed it. downstream: 2.0% of invoiced lines fail to resolve to a current DIM_PRODUCT member - see DQ-R-04 / variance tracker VAR-007</t>
        </is>
      </c>
    </row>
    <row r="8" ht="30" customHeight="1">
      <c r="A8" s="7" t="inlineStr">
        <is>
          <t>PACK_SIZE</t>
        </is>
      </c>
      <c r="B8" s="7" t="inlineStr">
        <is>
          <t>VARCHAR2(20)</t>
        </is>
      </c>
      <c r="C8" s="8" t="n">
        <v>1246</v>
      </c>
      <c r="D8" s="8" t="n">
        <v>17</v>
      </c>
      <c r="E8" s="9" t="n">
        <v>0.01364365971107544</v>
      </c>
      <c r="F8" s="8" t="n">
        <v>41</v>
      </c>
      <c r="G8" s="7" t="inlineStr"/>
      <c r="H8" s="7" t="inlineStr"/>
      <c r="I8" s="8" t="n">
        <v>0</v>
      </c>
      <c r="J8" s="10" t="inlineStr"/>
    </row>
    <row r="9" ht="30" customHeight="1">
      <c r="A9" s="7" t="inlineStr">
        <is>
          <t>UOM</t>
        </is>
      </c>
      <c r="B9" s="7" t="inlineStr">
        <is>
          <t>VARCHAR2(5)</t>
        </is>
      </c>
      <c r="C9" s="8" t="n">
        <v>1246</v>
      </c>
      <c r="D9" s="8" t="n">
        <v>0</v>
      </c>
      <c r="E9" s="9" t="n">
        <v>0</v>
      </c>
      <c r="F9" s="8" t="n">
        <v>3</v>
      </c>
      <c r="G9" s="7" t="inlineStr">
        <is>
          <t>EA</t>
        </is>
      </c>
      <c r="H9" s="7" t="inlineStr">
        <is>
          <t>LT</t>
        </is>
      </c>
      <c r="I9" s="8" t="n">
        <v>0</v>
      </c>
      <c r="J9" s="10" t="inlineStr"/>
    </row>
    <row r="10" ht="30" customHeight="1">
      <c r="A10" s="7" t="inlineStr">
        <is>
          <t>MRP</t>
        </is>
      </c>
      <c r="B10" s="7" t="inlineStr">
        <is>
          <t>NUMBER(12,2)</t>
        </is>
      </c>
      <c r="C10" s="8" t="n">
        <v>1246</v>
      </c>
      <c r="D10" s="8" t="n">
        <v>12</v>
      </c>
      <c r="E10" s="9" t="n">
        <v>0.009630818619582664</v>
      </c>
      <c r="F10" s="8" t="n">
        <v>768</v>
      </c>
      <c r="G10" s="7" t="n">
        <v>8.5</v>
      </c>
      <c r="H10" s="7" t="n">
        <v>42500</v>
      </c>
      <c r="I10" s="8" t="n">
        <v>0</v>
      </c>
      <c r="J10" s="10" t="inlineStr"/>
    </row>
    <row r="11" ht="30" customHeight="1">
      <c r="A11" s="12" t="inlineStr">
        <is>
          <t>HSN_CODE</t>
        </is>
      </c>
      <c r="B11" s="12" t="inlineStr">
        <is>
          <t>VARCHAR2(10)</t>
        </is>
      </c>
      <c r="C11" s="13" t="n">
        <v>1246</v>
      </c>
      <c r="D11" s="13" t="n">
        <v>0</v>
      </c>
      <c r="E11" s="14" t="n">
        <v>0</v>
      </c>
      <c r="F11" s="13" t="n">
        <v>48</v>
      </c>
      <c r="G11" s="12" t="inlineStr"/>
      <c r="H11" s="12" t="inlineStr"/>
      <c r="I11" s="13" t="n">
        <v>9</v>
      </c>
      <c r="J11" s="15" t="inlineStr">
        <is>
          <t>GST HSN format check (numeric, 4-8 digits): 9 rows fail - legacy alpha characters or wrong length. flagged for Finance master data cleanup, not yet a formal DQ rule ID</t>
        </is>
      </c>
    </row>
    <row r="12" ht="30" customHeight="1">
      <c r="A12" s="7" t="inlineStr">
        <is>
          <t>CREATED_BY</t>
        </is>
      </c>
      <c r="B12" s="7" t="inlineStr">
        <is>
          <t>VARCHAR2(30)</t>
        </is>
      </c>
      <c r="C12" s="8" t="n">
        <v>1246</v>
      </c>
      <c r="D12" s="8" t="n">
        <v>4</v>
      </c>
      <c r="E12" s="9" t="n">
        <v>0.003210272873194221</v>
      </c>
      <c r="F12" s="8" t="n">
        <v>5</v>
      </c>
      <c r="G12" s="7" t="inlineStr"/>
      <c r="H12" s="7" t="inlineStr"/>
      <c r="I12" s="8" t="n">
        <v>0</v>
      </c>
      <c r="J12" s="10" t="inlineStr"/>
    </row>
    <row r="13" ht="30" customHeight="1">
      <c r="A13" s="7" t="inlineStr">
        <is>
          <t>CREATED_DT</t>
        </is>
      </c>
      <c r="B13" s="7" t="inlineStr">
        <is>
          <t>DATE</t>
        </is>
      </c>
      <c r="C13" s="8" t="n">
        <v>1246</v>
      </c>
      <c r="D13" s="8" t="n">
        <v>16</v>
      </c>
      <c r="E13" s="9" t="n">
        <v>0.01284109149277689</v>
      </c>
      <c r="F13" s="8" t="n">
        <v>1129</v>
      </c>
      <c r="G13" s="7" t="inlineStr">
        <is>
          <t>03-Mar-2010</t>
        </is>
      </c>
      <c r="H13" s="7" t="inlineStr">
        <is>
          <t>12-Aug-2026</t>
        </is>
      </c>
      <c r="I13" s="8" t="n">
        <v>0</v>
      </c>
      <c r="J13" s="10" t="inlineStr"/>
    </row>
    <row r="14" ht="30" customHeight="1">
      <c r="A14" s="7" t="inlineStr">
        <is>
          <t>LAST_UPD_BY</t>
        </is>
      </c>
      <c r="B14" s="7" t="inlineStr">
        <is>
          <t>VARCHAR2(30)</t>
        </is>
      </c>
      <c r="C14" s="8" t="n">
        <v>1246</v>
      </c>
      <c r="D14" s="8" t="n">
        <v>5</v>
      </c>
      <c r="E14" s="9" t="n">
        <v>0.004012841091492777</v>
      </c>
      <c r="F14" s="8" t="n">
        <v>8</v>
      </c>
      <c r="G14" s="7" t="inlineStr"/>
      <c r="H14" s="7" t="inlineStr"/>
      <c r="I14" s="8" t="n">
        <v>0</v>
      </c>
      <c r="J14" s="10" t="inlineStr"/>
    </row>
    <row r="15" ht="30" customHeight="1">
      <c r="A15" s="7" t="inlineStr">
        <is>
          <t>LAST_UPD_DT</t>
        </is>
      </c>
      <c r="B15" s="7" t="inlineStr">
        <is>
          <t>DATE</t>
        </is>
      </c>
      <c r="C15" s="8" t="n">
        <v>1246</v>
      </c>
      <c r="D15" s="8" t="n">
        <v>6</v>
      </c>
      <c r="E15" s="9" t="n">
        <v>0.004815409309791332</v>
      </c>
      <c r="F15" s="8" t="n">
        <v>729</v>
      </c>
      <c r="G15" s="7" t="inlineStr">
        <is>
          <t>19-Apr-2010</t>
        </is>
      </c>
      <c r="H15" s="7" t="inlineStr">
        <is>
          <t>31-May-2026</t>
        </is>
      </c>
      <c r="I15" s="8" t="n">
        <v>0</v>
      </c>
      <c r="J15" s="10" t="inlineStr"/>
    </row>
    <row r="16" ht="30" customHeight="1">
      <c r="A16" s="7" t="inlineStr">
        <is>
          <t>ACTIVE_FLG</t>
        </is>
      </c>
      <c r="B16" s="7" t="inlineStr">
        <is>
          <t>CHAR(1)</t>
        </is>
      </c>
      <c r="C16" s="8" t="n">
        <v>1246</v>
      </c>
      <c r="D16" s="8" t="n">
        <v>0</v>
      </c>
      <c r="E16" s="9" t="n">
        <v>0</v>
      </c>
      <c r="F16" s="8" t="n">
        <v>2</v>
      </c>
      <c r="G16" s="7" t="inlineStr">
        <is>
          <t>N</t>
        </is>
      </c>
      <c r="H16" s="7" t="inlineStr">
        <is>
          <t>Y</t>
        </is>
      </c>
      <c r="I16" s="8" t="n">
        <v>0</v>
      </c>
      <c r="J16" s="10" t="inlineStr">
        <is>
          <t>862 of 1,246 rows are Y (active).</t>
        </is>
      </c>
    </row>
    <row r="17" ht="30" customHeight="1">
      <c r="A17" s="7" t="inlineStr">
        <is>
          <t>DELETE_FLAG</t>
        </is>
      </c>
      <c r="B17" s="7" t="inlineStr">
        <is>
          <t>CHAR(1)</t>
        </is>
      </c>
      <c r="C17" s="8" t="n">
        <v>1246</v>
      </c>
      <c r="D17" s="8" t="n">
        <v>17</v>
      </c>
      <c r="E17" s="9" t="n">
        <v>0.01364365971107544</v>
      </c>
      <c r="F17" s="8" t="n">
        <v>2</v>
      </c>
      <c r="G17" s="7" t="inlineStr">
        <is>
          <t>N</t>
        </is>
      </c>
      <c r="H17" s="7" t="inlineStr">
        <is>
          <t>Y</t>
        </is>
      </c>
      <c r="I17" s="8" t="n">
        <v>0</v>
      </c>
      <c r="J17" s="10" t="inlineStr"/>
    </row>
  </sheetData>
  <autoFilter ref="A2:J17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9" customWidth="1" min="5" max="5"/>
    <col width="12" customWidth="1" min="6" max="6"/>
    <col width="14" customWidth="1" min="7" max="7"/>
    <col width="14" customWidth="1" min="8" max="8"/>
    <col width="10" customWidth="1" min="9" max="9"/>
    <col width="48" customWidth="1" min="10" max="10"/>
  </cols>
  <sheetData>
    <row r="1" ht="20" customHeight="1">
      <c r="A1" s="5" t="inlineStr">
        <is>
          <t>OMS_PROD.INVOICE_HEADER  -  profiling run 31-May-2026  -  8,902,144 rows</t>
        </is>
      </c>
    </row>
    <row r="2">
      <c r="A2" s="6" t="inlineStr">
        <is>
          <t>COLUMN_NAME</t>
        </is>
      </c>
      <c r="B2" s="6" t="inlineStr">
        <is>
          <t>DATA_TYPE</t>
        </is>
      </c>
      <c r="C2" s="6" t="inlineStr">
        <is>
          <t>ROW_COUNT</t>
        </is>
      </c>
      <c r="D2" s="6" t="inlineStr">
        <is>
          <t>NULL_COUNT</t>
        </is>
      </c>
      <c r="E2" s="6" t="inlineStr">
        <is>
          <t>NULL_PCT</t>
        </is>
      </c>
      <c r="F2" s="6" t="inlineStr">
        <is>
          <t>DISTINCT_COUNT</t>
        </is>
      </c>
      <c r="G2" s="6" t="inlineStr">
        <is>
          <t>MIN</t>
        </is>
      </c>
      <c r="H2" s="6" t="inlineStr">
        <is>
          <t>MAX</t>
        </is>
      </c>
      <c r="I2" s="6" t="inlineStr">
        <is>
          <t>PATTERN_FAIL_COUNT</t>
        </is>
      </c>
      <c r="J2" s="6" t="inlineStr">
        <is>
          <t>NOTES</t>
        </is>
      </c>
    </row>
    <row r="3" ht="30" customHeight="1">
      <c r="A3" s="7" t="inlineStr">
        <is>
          <t>INVOICE_ID</t>
        </is>
      </c>
      <c r="B3" s="7" t="inlineStr">
        <is>
          <t>NUMBER(12)</t>
        </is>
      </c>
      <c r="C3" s="8" t="n">
        <v>8902144</v>
      </c>
      <c r="D3" s="8" t="n">
        <v>0</v>
      </c>
      <c r="E3" s="9" t="n">
        <v>0</v>
      </c>
      <c r="F3" s="8" t="n">
        <v>8902144</v>
      </c>
      <c r="G3" s="7" t="n">
        <v>1000001</v>
      </c>
      <c r="H3" s="7" t="n">
        <v>9902144</v>
      </c>
      <c r="I3" s="8" t="n">
        <v>0</v>
      </c>
      <c r="J3" s="10" t="inlineStr"/>
    </row>
    <row r="4" ht="30" customHeight="1">
      <c r="A4" s="7" t="inlineStr">
        <is>
          <t>INVOICE_NO</t>
        </is>
      </c>
      <c r="B4" s="7" t="inlineStr">
        <is>
          <t>VARCHAR2(20)</t>
        </is>
      </c>
      <c r="C4" s="8" t="n">
        <v>8902144</v>
      </c>
      <c r="D4" s="8" t="n">
        <v>0</v>
      </c>
      <c r="E4" s="9" t="n">
        <v>0</v>
      </c>
      <c r="F4" s="8" t="n">
        <v>8902144</v>
      </c>
      <c r="G4" s="7" t="inlineStr"/>
      <c r="H4" s="7" t="inlineStr"/>
      <c r="I4" s="8" t="n">
        <v>0</v>
      </c>
      <c r="J4" s="10" t="inlineStr"/>
    </row>
    <row r="5" ht="30" customHeight="1">
      <c r="A5" s="7" t="inlineStr">
        <is>
          <t>INVOICE_DT</t>
        </is>
      </c>
      <c r="B5" s="7" t="inlineStr">
        <is>
          <t>DATE</t>
        </is>
      </c>
      <c r="C5" s="8" t="n">
        <v>8902144</v>
      </c>
      <c r="D5" s="8" t="n">
        <v>0</v>
      </c>
      <c r="E5" s="9" t="n">
        <v>0</v>
      </c>
      <c r="F5" s="8" t="n">
        <v>6524773</v>
      </c>
      <c r="G5" s="7" t="inlineStr">
        <is>
          <t>01-Apr-2016</t>
        </is>
      </c>
      <c r="H5" s="7" t="inlineStr">
        <is>
          <t>31-May-2026</t>
        </is>
      </c>
      <c r="I5" s="8" t="n">
        <v>0</v>
      </c>
      <c r="J5" s="10" t="inlineStr">
        <is>
          <t>IST date. see CREATED_TS row below - against which rule, this is the pairing behind VAR-002</t>
        </is>
      </c>
    </row>
    <row r="6" ht="30" customHeight="1">
      <c r="A6" s="7" t="inlineStr">
        <is>
          <t>DOC_TYPE</t>
        </is>
      </c>
      <c r="B6" s="7" t="inlineStr">
        <is>
          <t>VARCHAR2(4)</t>
        </is>
      </c>
      <c r="C6" s="8" t="n">
        <v>8902144</v>
      </c>
      <c r="D6" s="8" t="n">
        <v>0</v>
      </c>
      <c r="E6" s="9" t="n">
        <v>0</v>
      </c>
      <c r="F6" s="8" t="n">
        <v>3</v>
      </c>
      <c r="G6" s="7" t="inlineStr">
        <is>
          <t>INV</t>
        </is>
      </c>
      <c r="H6" s="7" t="inlineStr">
        <is>
          <t>STN</t>
        </is>
      </c>
      <c r="I6" s="8" t="n">
        <v>0</v>
      </c>
      <c r="J6" s="10" t="inlineStr">
        <is>
          <t>mix on this run: INV 94.7%, STN 4.7%, SMP 0.6%</t>
        </is>
      </c>
    </row>
    <row r="7" ht="30" customHeight="1">
      <c r="A7" s="7" t="inlineStr">
        <is>
          <t>CUST_ID</t>
        </is>
      </c>
      <c r="B7" s="7" t="inlineStr">
        <is>
          <t>NUMBER(10)</t>
        </is>
      </c>
      <c r="C7" s="8" t="n">
        <v>8902144</v>
      </c>
      <c r="D7" s="8" t="n">
        <v>52119</v>
      </c>
      <c r="E7" s="9" t="n">
        <v>0.005854657035428769</v>
      </c>
      <c r="F7" s="8" t="n">
        <v>2140</v>
      </c>
      <c r="G7" s="7" t="inlineStr"/>
      <c r="H7" s="7" t="inlineStr"/>
      <c r="I7" s="8" t="n">
        <v>0</v>
      </c>
      <c r="J7" s="10" t="inlineStr"/>
    </row>
    <row r="8" ht="30" customHeight="1">
      <c r="A8" s="7" t="inlineStr">
        <is>
          <t>DEPOT_CD</t>
        </is>
      </c>
      <c r="B8" s="7" t="inlineStr">
        <is>
          <t>VARCHAR2(12)</t>
        </is>
      </c>
      <c r="C8" s="8" t="n">
        <v>8902144</v>
      </c>
      <c r="D8" s="8" t="n">
        <v>25079</v>
      </c>
      <c r="E8" s="9" t="n">
        <v>0.00281718651147409</v>
      </c>
      <c r="F8" s="8" t="n">
        <v>22</v>
      </c>
      <c r="G8" s="7" t="inlineStr"/>
      <c r="H8" s="7" t="inlineStr"/>
      <c r="I8" s="8" t="n">
        <v>0</v>
      </c>
      <c r="J8" s="10" t="inlineStr"/>
    </row>
    <row r="9" ht="30" customHeight="1">
      <c r="A9" s="7" t="inlineStr">
        <is>
          <t>ORDER_ID</t>
        </is>
      </c>
      <c r="B9" s="7" t="inlineStr">
        <is>
          <t>NUMBER(12)</t>
        </is>
      </c>
      <c r="C9" s="8" t="n">
        <v>8902144</v>
      </c>
      <c r="D9" s="8" t="n">
        <v>127295</v>
      </c>
      <c r="E9" s="9" t="n">
        <v>0.01429936428797377</v>
      </c>
      <c r="F9" s="8" t="n">
        <v>5778721</v>
      </c>
      <c r="G9" s="7" t="inlineStr"/>
      <c r="H9" s="7" t="inlineStr"/>
      <c r="I9" s="8" t="n">
        <v>0</v>
      </c>
      <c r="J9" s="10" t="inlineStr"/>
    </row>
    <row r="10" ht="30" customHeight="1">
      <c r="A10" s="7" t="inlineStr">
        <is>
          <t>INVOICE_STATUS</t>
        </is>
      </c>
      <c r="B10" s="7" t="inlineStr">
        <is>
          <t>VARCHAR2(20)</t>
        </is>
      </c>
      <c r="C10" s="8" t="n">
        <v>8902144</v>
      </c>
      <c r="D10" s="8" t="n">
        <v>24400</v>
      </c>
      <c r="E10" s="9" t="n">
        <v>0.002740912750905849</v>
      </c>
      <c r="F10" s="8" t="n">
        <v>5</v>
      </c>
      <c r="G10" s="7" t="inlineStr"/>
      <c r="H10" s="7" t="inlineStr"/>
      <c r="I10" s="8" t="n">
        <v>0</v>
      </c>
      <c r="J10" s="10" t="inlineStr"/>
    </row>
    <row r="11" ht="30" customHeight="1">
      <c r="A11" s="7" t="inlineStr">
        <is>
          <t>TOTAL_GROSS_AMT</t>
        </is>
      </c>
      <c r="B11" s="7" t="inlineStr">
        <is>
          <t>NUMBER(16,2)</t>
        </is>
      </c>
      <c r="C11" s="8" t="n">
        <v>8902144</v>
      </c>
      <c r="D11" s="8" t="n">
        <v>16677</v>
      </c>
      <c r="E11" s="9" t="n">
        <v>0.001873368932248231</v>
      </c>
      <c r="F11" s="8" t="n">
        <v>5507311</v>
      </c>
      <c r="G11" s="7" t="n">
        <v>180</v>
      </c>
      <c r="H11" s="7" t="n">
        <v>4850000</v>
      </c>
      <c r="I11" s="8" t="n">
        <v>0</v>
      </c>
      <c r="J11" s="10" t="inlineStr"/>
    </row>
    <row r="12" ht="30" customHeight="1">
      <c r="A12" s="7" t="inlineStr">
        <is>
          <t>TOTAL_NET_AMT</t>
        </is>
      </c>
      <c r="B12" s="7" t="inlineStr">
        <is>
          <t>NUMBER(16,2)</t>
        </is>
      </c>
      <c r="C12" s="8" t="n">
        <v>8902144</v>
      </c>
      <c r="D12" s="8" t="n">
        <v>47149</v>
      </c>
      <c r="E12" s="9" t="n">
        <v>0.005296364561166389</v>
      </c>
      <c r="F12" s="8" t="n">
        <v>5903046</v>
      </c>
      <c r="G12" s="7" t="n">
        <v>150</v>
      </c>
      <c r="H12" s="7" t="n">
        <v>4610000</v>
      </c>
      <c r="I12" s="8" t="n">
        <v>0</v>
      </c>
      <c r="J12" s="10" t="inlineStr"/>
    </row>
    <row r="13" ht="30" customHeight="1">
      <c r="A13" s="7" t="inlineStr">
        <is>
          <t>CREATED_BY</t>
        </is>
      </c>
      <c r="B13" s="7" t="inlineStr">
        <is>
          <t>VARCHAR2(30)</t>
        </is>
      </c>
      <c r="C13" s="8" t="n">
        <v>8902144</v>
      </c>
      <c r="D13" s="8" t="n">
        <v>46008</v>
      </c>
      <c r="E13" s="9" t="n">
        <v>0.005168193190314603</v>
      </c>
      <c r="F13" s="8" t="n">
        <v>11</v>
      </c>
      <c r="G13" s="7" t="inlineStr"/>
      <c r="H13" s="7" t="inlineStr"/>
      <c r="I13" s="8" t="n">
        <v>0</v>
      </c>
      <c r="J13" s="10" t="inlineStr"/>
    </row>
    <row r="14" ht="30" customHeight="1">
      <c r="A14" s="7" t="inlineStr">
        <is>
          <t>CREATED_TS</t>
        </is>
      </c>
      <c r="B14" s="7" t="inlineStr">
        <is>
          <t>TIMESTAMP(6)</t>
        </is>
      </c>
      <c r="C14" s="8" t="n">
        <v>8902144</v>
      </c>
      <c r="D14" s="8" t="n">
        <v>121061</v>
      </c>
      <c r="E14" s="9" t="n">
        <v>0.01359908354661529</v>
      </c>
      <c r="F14" s="8" t="n">
        <v>7153302</v>
      </c>
      <c r="G14" s="7" t="inlineStr">
        <is>
          <t>01-Apr-2016 00:04:11</t>
        </is>
      </c>
      <c r="H14" s="7" t="inlineStr">
        <is>
          <t>31-May-2026 23:58:02</t>
        </is>
      </c>
      <c r="I14" s="8" t="n">
        <v>0</v>
      </c>
      <c r="J14" s="10" t="inlineStr">
        <is>
          <t>written by the app server in UTC, not IST - see VAR-002. no index on this column either</t>
        </is>
      </c>
    </row>
    <row r="15" ht="30" customHeight="1">
      <c r="A15" s="7" t="inlineStr">
        <is>
          <t>LAST_UPD_BY</t>
        </is>
      </c>
      <c r="B15" s="7" t="inlineStr">
        <is>
          <t>VARCHAR2(30)</t>
        </is>
      </c>
      <c r="C15" s="8" t="n">
        <v>8902144</v>
      </c>
      <c r="D15" s="8" t="n">
        <v>9813</v>
      </c>
      <c r="E15" s="9" t="n">
        <v>0.001102318722321275</v>
      </c>
      <c r="F15" s="8" t="n">
        <v>9</v>
      </c>
      <c r="G15" s="7" t="inlineStr"/>
      <c r="H15" s="7" t="inlineStr"/>
      <c r="I15" s="8" t="n">
        <v>0</v>
      </c>
      <c r="J15" s="10" t="inlineStr"/>
    </row>
    <row r="16" ht="30" customHeight="1">
      <c r="A16" s="7" t="inlineStr">
        <is>
          <t>LAST_UPD_DT</t>
        </is>
      </c>
      <c r="B16" s="7" t="inlineStr">
        <is>
          <t>DATE</t>
        </is>
      </c>
      <c r="C16" s="8" t="n">
        <v>8902144</v>
      </c>
      <c r="D16" s="8" t="n">
        <v>58783</v>
      </c>
      <c r="E16" s="9" t="n">
        <v>0.006603240747397481</v>
      </c>
      <c r="F16" s="8" t="n">
        <v>6786909</v>
      </c>
      <c r="G16" s="7" t="inlineStr">
        <is>
          <t>01-Apr-2016</t>
        </is>
      </c>
      <c r="H16" s="7" t="inlineStr">
        <is>
          <t>31-May-2026</t>
        </is>
      </c>
      <c r="I16" s="8" t="n">
        <v>0</v>
      </c>
      <c r="J16" s="10" t="inlineStr"/>
    </row>
    <row r="17" ht="30" customHeight="1">
      <c r="A17" s="7" t="inlineStr">
        <is>
          <t>ACTIVE_FLG</t>
        </is>
      </c>
      <c r="B17" s="7" t="inlineStr">
        <is>
          <t>CHAR(1)</t>
        </is>
      </c>
      <c r="C17" s="8" t="n">
        <v>8902144</v>
      </c>
      <c r="D17" s="8" t="n">
        <v>0</v>
      </c>
      <c r="E17" s="9" t="n">
        <v>0</v>
      </c>
      <c r="F17" s="8" t="n">
        <v>2</v>
      </c>
      <c r="G17" s="7" t="inlineStr">
        <is>
          <t>N</t>
        </is>
      </c>
      <c r="H17" s="7" t="inlineStr">
        <is>
          <t>Y</t>
        </is>
      </c>
      <c r="I17" s="8" t="n">
        <v>0</v>
      </c>
      <c r="J17" s="10" t="inlineStr"/>
    </row>
    <row r="18" ht="30" customHeight="1">
      <c r="A18" s="7" t="inlineStr">
        <is>
          <t>DELETE_FLAG</t>
        </is>
      </c>
      <c r="B18" s="7" t="inlineStr">
        <is>
          <t>CHAR(1)</t>
        </is>
      </c>
      <c r="C18" s="8" t="n">
        <v>8902144</v>
      </c>
      <c r="D18" s="8" t="n">
        <v>58058</v>
      </c>
      <c r="E18" s="9" t="n">
        <v>0.006521799692298844</v>
      </c>
      <c r="F18" s="8" t="n">
        <v>2</v>
      </c>
      <c r="G18" s="7" t="inlineStr">
        <is>
          <t>N</t>
        </is>
      </c>
      <c r="H18" s="7" t="inlineStr">
        <is>
          <t>Y</t>
        </is>
      </c>
      <c r="I18" s="8" t="n">
        <v>0</v>
      </c>
      <c r="J18" s="10" t="inlineStr">
        <is>
          <t>nulls exist on the older rows on this table too, not scored under a rule here - see INVOICE_LINE tab for the version of this flag that DQ-R-12 is measured against</t>
        </is>
      </c>
    </row>
  </sheetData>
  <autoFilter ref="A2:J18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9" customWidth="1" min="5" max="5"/>
    <col width="12" customWidth="1" min="6" max="6"/>
    <col width="14" customWidth="1" min="7" max="7"/>
    <col width="14" customWidth="1" min="8" max="8"/>
    <col width="10" customWidth="1" min="9" max="9"/>
    <col width="48" customWidth="1" min="10" max="10"/>
  </cols>
  <sheetData>
    <row r="1" ht="20" customHeight="1">
      <c r="A1" s="5" t="inlineStr">
        <is>
          <t>OMS_PROD.INVOICE_LINE  -  profiling run 31-May-2026  -  61,847,220 rows</t>
        </is>
      </c>
    </row>
    <row r="2" ht="30" customHeight="1">
      <c r="A2" s="11" t="inlineStr">
        <is>
          <t>Fails DQ-R-09 (consistency, one fact row per source invoice line) downstream in BCPL_EDW, not on this table directly - out of scope for this tab, against which rule is a separate conversation with the reconciliation, not with source-side DQ.</t>
        </is>
      </c>
    </row>
    <row r="3">
      <c r="A3" s="6" t="inlineStr">
        <is>
          <t>COLUMN_NAME</t>
        </is>
      </c>
      <c r="B3" s="6" t="inlineStr">
        <is>
          <t>DATA_TYPE</t>
        </is>
      </c>
      <c r="C3" s="6" t="inlineStr">
        <is>
          <t>ROW_COUNT</t>
        </is>
      </c>
      <c r="D3" s="6" t="inlineStr">
        <is>
          <t>NULL_COUNT</t>
        </is>
      </c>
      <c r="E3" s="6" t="inlineStr">
        <is>
          <t>NULL_PCT</t>
        </is>
      </c>
      <c r="F3" s="6" t="inlineStr">
        <is>
          <t>DISTINCT_COUNT</t>
        </is>
      </c>
      <c r="G3" s="6" t="inlineStr">
        <is>
          <t>MIN</t>
        </is>
      </c>
      <c r="H3" s="6" t="inlineStr">
        <is>
          <t>MAX</t>
        </is>
      </c>
      <c r="I3" s="6" t="inlineStr">
        <is>
          <t>PATTERN_FAIL_COUNT</t>
        </is>
      </c>
      <c r="J3" s="6" t="inlineStr">
        <is>
          <t>NOTES</t>
        </is>
      </c>
    </row>
    <row r="4" ht="30" customHeight="1">
      <c r="A4" s="7" t="inlineStr">
        <is>
          <t>INVOICE_LINE_ID</t>
        </is>
      </c>
      <c r="B4" s="7" t="inlineStr">
        <is>
          <t>NUMBER(12)</t>
        </is>
      </c>
      <c r="C4" s="8" t="n">
        <v>61847220</v>
      </c>
      <c r="D4" s="8" t="n">
        <v>0</v>
      </c>
      <c r="E4" s="9" t="n">
        <v>0</v>
      </c>
      <c r="F4" s="8" t="n">
        <v>61847220</v>
      </c>
      <c r="G4" s="7" t="n">
        <v>1</v>
      </c>
      <c r="H4" s="7" t="n">
        <v>61847220</v>
      </c>
      <c r="I4" s="8" t="n">
        <v>0</v>
      </c>
      <c r="J4" s="10" t="inlineStr"/>
    </row>
    <row r="5" ht="30" customHeight="1">
      <c r="A5" s="7" t="inlineStr">
        <is>
          <t>INVOICE_ID</t>
        </is>
      </c>
      <c r="B5" s="7" t="inlineStr">
        <is>
          <t>NUMBER(12)</t>
        </is>
      </c>
      <c r="C5" s="8" t="n">
        <v>61847220</v>
      </c>
      <c r="D5" s="8" t="n">
        <v>0</v>
      </c>
      <c r="E5" s="9" t="n">
        <v>0</v>
      </c>
      <c r="F5" s="8" t="n">
        <v>8902144</v>
      </c>
      <c r="G5" s="7" t="inlineStr"/>
      <c r="H5" s="7" t="inlineStr"/>
      <c r="I5" s="8" t="n">
        <v>0</v>
      </c>
      <c r="J5" s="10" t="inlineStr"/>
    </row>
    <row r="6" ht="30" customHeight="1">
      <c r="A6" s="7" t="inlineStr">
        <is>
          <t>LINE_NO</t>
        </is>
      </c>
      <c r="B6" s="7" t="inlineStr">
        <is>
          <t>NUMBER(4)</t>
        </is>
      </c>
      <c r="C6" s="8" t="n">
        <v>61847220</v>
      </c>
      <c r="D6" s="8" t="n">
        <v>0</v>
      </c>
      <c r="E6" s="9" t="n">
        <v>0</v>
      </c>
      <c r="F6" s="8" t="n">
        <v>48</v>
      </c>
      <c r="G6" s="7" t="n">
        <v>1</v>
      </c>
      <c r="H6" s="7" t="n">
        <v>48</v>
      </c>
      <c r="I6" s="8" t="n">
        <v>0</v>
      </c>
      <c r="J6" s="10" t="inlineStr"/>
    </row>
    <row r="7" ht="30" customHeight="1">
      <c r="A7" s="7" t="inlineStr">
        <is>
          <t>SKU_ID</t>
        </is>
      </c>
      <c r="B7" s="7" t="inlineStr">
        <is>
          <t>NUMBER(10)</t>
        </is>
      </c>
      <c r="C7" s="8" t="n">
        <v>61847220</v>
      </c>
      <c r="D7" s="8" t="n">
        <v>546500</v>
      </c>
      <c r="E7" s="9" t="n">
        <v>0.008836290458972934</v>
      </c>
      <c r="F7" s="8" t="n">
        <v>1246</v>
      </c>
      <c r="G7" s="7" t="inlineStr"/>
      <c r="H7" s="7" t="inlineStr"/>
      <c r="I7" s="8" t="n">
        <v>0</v>
      </c>
      <c r="J7" s="10" t="inlineStr"/>
    </row>
    <row r="8" ht="30" customHeight="1">
      <c r="A8" s="7" t="inlineStr">
        <is>
          <t>QTY_CS</t>
        </is>
      </c>
      <c r="B8" s="7" t="inlineStr">
        <is>
          <t>NUMBER(12,3)</t>
        </is>
      </c>
      <c r="C8" s="8" t="n">
        <v>61847220</v>
      </c>
      <c r="D8" s="8" t="n">
        <v>49891</v>
      </c>
      <c r="E8" s="9" t="n">
        <v>0.0008066813674082683</v>
      </c>
      <c r="F8" s="8" t="n">
        <v>57645578</v>
      </c>
      <c r="G8" s="7" t="n">
        <v>0.5</v>
      </c>
      <c r="H8" s="7" t="n">
        <v>1200</v>
      </c>
      <c r="I8" s="8" t="n">
        <v>0</v>
      </c>
      <c r="J8" s="10" t="inlineStr"/>
    </row>
    <row r="9" ht="30" customHeight="1">
      <c r="A9" s="7" t="inlineStr">
        <is>
          <t>QTY_EA</t>
        </is>
      </c>
      <c r="B9" s="7" t="inlineStr">
        <is>
          <t>NUMBER(12,3)</t>
        </is>
      </c>
      <c r="C9" s="8" t="n">
        <v>61847220</v>
      </c>
      <c r="D9" s="8" t="n">
        <v>33170</v>
      </c>
      <c r="E9" s="9" t="n">
        <v>0.0005363216002271403</v>
      </c>
      <c r="F9" s="8" t="n">
        <v>50837956</v>
      </c>
      <c r="G9" s="7" t="n">
        <v>1</v>
      </c>
      <c r="H9" s="7" t="n">
        <v>48000</v>
      </c>
      <c r="I9" s="8" t="n">
        <v>0</v>
      </c>
      <c r="J9" s="10" t="inlineStr"/>
    </row>
    <row r="10" ht="30" customHeight="1">
      <c r="A10" s="7" t="inlineStr">
        <is>
          <t>UNIT_PRICE</t>
        </is>
      </c>
      <c r="B10" s="7" t="inlineStr">
        <is>
          <t>NUMBER(12,2)</t>
        </is>
      </c>
      <c r="C10" s="8" t="n">
        <v>61847220</v>
      </c>
      <c r="D10" s="8" t="n">
        <v>848446</v>
      </c>
      <c r="E10" s="9" t="n">
        <v>0.01371841773971409</v>
      </c>
      <c r="F10" s="8" t="n">
        <v>37648094</v>
      </c>
      <c r="G10" s="7" t="n">
        <v>8.5</v>
      </c>
      <c r="H10" s="7" t="n">
        <v>42500</v>
      </c>
      <c r="I10" s="8" t="n">
        <v>0</v>
      </c>
      <c r="J10" s="10" t="inlineStr"/>
    </row>
    <row r="11" ht="30" customHeight="1">
      <c r="A11" s="7" t="inlineStr">
        <is>
          <t>GROSS_AMT</t>
        </is>
      </c>
      <c r="B11" s="7" t="inlineStr">
        <is>
          <t>NUMBER(16,2)</t>
        </is>
      </c>
      <c r="C11" s="8" t="n">
        <v>61847220</v>
      </c>
      <c r="D11" s="8" t="n">
        <v>778592</v>
      </c>
      <c r="E11" s="9" t="n">
        <v>0.01258895711076423</v>
      </c>
      <c r="F11" s="8" t="n">
        <v>51021600</v>
      </c>
      <c r="G11" s="7" t="n">
        <v>8.5</v>
      </c>
      <c r="H11" s="7" t="n">
        <v>612000</v>
      </c>
      <c r="I11" s="8" t="n">
        <v>0</v>
      </c>
      <c r="J11" s="10" t="inlineStr"/>
    </row>
    <row r="12" ht="30" customHeight="1">
      <c r="A12" s="7" t="inlineStr">
        <is>
          <t>SCHEME_DISC_AMT</t>
        </is>
      </c>
      <c r="B12" s="7" t="inlineStr">
        <is>
          <t>NUMBER(16,2)</t>
        </is>
      </c>
      <c r="C12" s="8" t="n">
        <v>61847220</v>
      </c>
      <c r="D12" s="8" t="n">
        <v>250153</v>
      </c>
      <c r="E12" s="9" t="n">
        <v>0.004044692712138072</v>
      </c>
      <c r="F12" s="8" t="n">
        <v>53676831</v>
      </c>
      <c r="G12" s="7" t="n">
        <v>0</v>
      </c>
      <c r="H12" s="7" t="n">
        <v>48500</v>
      </c>
      <c r="I12" s="8" t="n">
        <v>0</v>
      </c>
      <c r="J12" s="10" t="inlineStr">
        <is>
          <t>value on this column moves after the profiling snapshot is taken, treat as a point-in-time read only, not a stable figure to reconcile against</t>
        </is>
      </c>
    </row>
    <row r="13" ht="30" customHeight="1">
      <c r="A13" s="7" t="inlineStr">
        <is>
          <t>CASH_DISC_AMT</t>
        </is>
      </c>
      <c r="B13" s="7" t="inlineStr">
        <is>
          <t>NUMBER(16,2)</t>
        </is>
      </c>
      <c r="C13" s="8" t="n">
        <v>61847220</v>
      </c>
      <c r="D13" s="8" t="n">
        <v>545141</v>
      </c>
      <c r="E13" s="9" t="n">
        <v>0.008814316957172852</v>
      </c>
      <c r="F13" s="8" t="n">
        <v>38762883</v>
      </c>
      <c r="G13" s="7" t="n">
        <v>0</v>
      </c>
      <c r="H13" s="7" t="n">
        <v>9200</v>
      </c>
      <c r="I13" s="8" t="n">
        <v>0</v>
      </c>
      <c r="J13" s="10" t="inlineStr"/>
    </row>
    <row r="14" ht="30" customHeight="1">
      <c r="A14" s="7" t="inlineStr">
        <is>
          <t>TAX_AMT</t>
        </is>
      </c>
      <c r="B14" s="7" t="inlineStr">
        <is>
          <t>NUMBER(16,2)</t>
        </is>
      </c>
      <c r="C14" s="8" t="n">
        <v>61847220</v>
      </c>
      <c r="D14" s="8" t="n">
        <v>323264</v>
      </c>
      <c r="E14" s="9" t="n">
        <v>0.005226815368580835</v>
      </c>
      <c r="F14" s="8" t="n">
        <v>57385364</v>
      </c>
      <c r="G14" s="7" t="n">
        <v>0</v>
      </c>
      <c r="H14" s="7" t="n">
        <v>110000</v>
      </c>
      <c r="I14" s="8" t="n">
        <v>0</v>
      </c>
      <c r="J14" s="10" t="inlineStr"/>
    </row>
    <row r="15" ht="30" customHeight="1">
      <c r="A15" s="7" t="inlineStr">
        <is>
          <t>NET_AMT</t>
        </is>
      </c>
      <c r="B15" s="7" t="inlineStr">
        <is>
          <t>NUMBER(16,2)</t>
        </is>
      </c>
      <c r="C15" s="8" t="n">
        <v>61847220</v>
      </c>
      <c r="D15" s="8" t="n">
        <v>216965</v>
      </c>
      <c r="E15" s="9" t="n">
        <v>0.00350808007215199</v>
      </c>
      <c r="F15" s="8" t="n">
        <v>43750317</v>
      </c>
      <c r="G15" s="7" t="n">
        <v>8.5</v>
      </c>
      <c r="H15" s="7" t="n">
        <v>598000</v>
      </c>
      <c r="I15" s="8" t="n">
        <v>0</v>
      </c>
      <c r="J15" s="10" t="inlineStr"/>
    </row>
    <row r="16" ht="30" customHeight="1">
      <c r="A16" s="7" t="inlineStr">
        <is>
          <t>SCHEME_ID</t>
        </is>
      </c>
      <c r="B16" s="7" t="inlineStr">
        <is>
          <t>NUMBER(8)</t>
        </is>
      </c>
      <c r="C16" s="8" t="n">
        <v>61847220</v>
      </c>
      <c r="D16" s="8" t="n">
        <v>122419</v>
      </c>
      <c r="E16" s="9" t="n">
        <v>0.001979377569436427</v>
      </c>
      <c r="F16" s="8" t="n">
        <v>5</v>
      </c>
      <c r="G16" s="7" t="n">
        <v>5501</v>
      </c>
      <c r="H16" s="7" t="n">
        <v>5540</v>
      </c>
      <c r="I16" s="8" t="n">
        <v>0</v>
      </c>
      <c r="J16" s="10" t="inlineStr"/>
    </row>
    <row r="17" ht="30" customHeight="1">
      <c r="A17" s="7" t="inlineStr">
        <is>
          <t>CREATED_BY</t>
        </is>
      </c>
      <c r="B17" s="7" t="inlineStr">
        <is>
          <t>VARCHAR2(30)</t>
        </is>
      </c>
      <c r="C17" s="8" t="n">
        <v>61847220</v>
      </c>
      <c r="D17" s="8" t="n">
        <v>715226</v>
      </c>
      <c r="E17" s="9" t="n">
        <v>0.01156440014603728</v>
      </c>
      <c r="F17" s="8" t="n">
        <v>11</v>
      </c>
      <c r="G17" s="7" t="inlineStr"/>
      <c r="H17" s="7" t="inlineStr"/>
      <c r="I17" s="8" t="n">
        <v>0</v>
      </c>
      <c r="J17" s="10" t="inlineStr"/>
    </row>
    <row r="18" ht="30" customHeight="1">
      <c r="A18" s="7" t="inlineStr">
        <is>
          <t>CREATED_TS</t>
        </is>
      </c>
      <c r="B18" s="7" t="inlineStr">
        <is>
          <t>TIMESTAMP(6)</t>
        </is>
      </c>
      <c r="C18" s="8" t="n">
        <v>61847220</v>
      </c>
      <c r="D18" s="8" t="n">
        <v>579602</v>
      </c>
      <c r="E18" s="9" t="n">
        <v>0.009371512575666294</v>
      </c>
      <c r="F18" s="8" t="n">
        <v>42351957</v>
      </c>
      <c r="G18" s="7" t="inlineStr">
        <is>
          <t>01-Apr-2016 00:04:11</t>
        </is>
      </c>
      <c r="H18" s="7" t="inlineStr">
        <is>
          <t>31-May-2026 23:58:44</t>
        </is>
      </c>
      <c r="I18" s="8" t="n">
        <v>0</v>
      </c>
      <c r="J18" s="10" t="inlineStr"/>
    </row>
    <row r="19" ht="30" customHeight="1">
      <c r="A19" s="7" t="inlineStr">
        <is>
          <t>LAST_UPD_BY</t>
        </is>
      </c>
      <c r="B19" s="7" t="inlineStr">
        <is>
          <t>VARCHAR2(30)</t>
        </is>
      </c>
      <c r="C19" s="8" t="n">
        <v>61847220</v>
      </c>
      <c r="D19" s="8" t="n">
        <v>737899</v>
      </c>
      <c r="E19" s="9" t="n">
        <v>0.01193099706017506</v>
      </c>
      <c r="F19" s="8" t="n">
        <v>9</v>
      </c>
      <c r="G19" s="7" t="inlineStr"/>
      <c r="H19" s="7" t="inlineStr"/>
      <c r="I19" s="8" t="n">
        <v>0</v>
      </c>
      <c r="J19" s="10" t="inlineStr"/>
    </row>
    <row r="20" ht="30" customHeight="1">
      <c r="A20" s="7" t="inlineStr">
        <is>
          <t>LAST_UPD_DT</t>
        </is>
      </c>
      <c r="B20" s="7" t="inlineStr">
        <is>
          <t>DATE</t>
        </is>
      </c>
      <c r="C20" s="8" t="n">
        <v>61847220</v>
      </c>
      <c r="D20" s="8" t="n">
        <v>247468</v>
      </c>
      <c r="E20" s="9" t="n">
        <v>0.004001279281429303</v>
      </c>
      <c r="F20" s="8" t="n">
        <v>42393583</v>
      </c>
      <c r="G20" s="7" t="inlineStr">
        <is>
          <t>01-Apr-2016</t>
        </is>
      </c>
      <c r="H20" s="7" t="inlineStr">
        <is>
          <t>31-May-2026</t>
        </is>
      </c>
      <c r="I20" s="8" t="n">
        <v>0</v>
      </c>
      <c r="J20" s="10" t="inlineStr">
        <is>
          <t>the incremental extract predicate keys off this column</t>
        </is>
      </c>
    </row>
    <row r="21" ht="30" customHeight="1">
      <c r="A21" s="7" t="inlineStr">
        <is>
          <t>ACTIVE_FLG</t>
        </is>
      </c>
      <c r="B21" s="7" t="inlineStr">
        <is>
          <t>CHAR(1)</t>
        </is>
      </c>
      <c r="C21" s="8" t="n">
        <v>61847220</v>
      </c>
      <c r="D21" s="8" t="n">
        <v>0</v>
      </c>
      <c r="E21" s="9" t="n">
        <v>0</v>
      </c>
      <c r="F21" s="8" t="n">
        <v>2</v>
      </c>
      <c r="G21" s="7" t="inlineStr">
        <is>
          <t>N</t>
        </is>
      </c>
      <c r="H21" s="7" t="inlineStr">
        <is>
          <t>Y</t>
        </is>
      </c>
      <c r="I21" s="8" t="n">
        <v>0</v>
      </c>
      <c r="J21" s="10" t="inlineStr"/>
    </row>
    <row r="22" ht="30" customHeight="1">
      <c r="A22" s="12" t="inlineStr">
        <is>
          <t>DELETE_FLAG</t>
        </is>
      </c>
      <c r="B22" s="12" t="inlineStr">
        <is>
          <t>CHAR(1)</t>
        </is>
      </c>
      <c r="C22" s="13" t="n">
        <v>61847220</v>
      </c>
      <c r="D22" s="13" t="n">
        <v>9215388</v>
      </c>
      <c r="E22" s="14" t="n">
        <v>0.1490024612262281</v>
      </c>
      <c r="F22" s="13" t="n">
        <v>2</v>
      </c>
      <c r="G22" s="12" t="inlineStr">
        <is>
          <t>N</t>
        </is>
      </c>
      <c r="H22" s="12" t="inlineStr">
        <is>
          <t>Y</t>
        </is>
      </c>
      <c r="I22" s="13" t="n">
        <v>9215388</v>
      </c>
      <c r="J22" s="15" t="inlineStr">
        <is>
          <t>DQ-R-12 (validity, SRC_DELETE_FLAG in ('Y','N')): 85.1% pass against a 100% threshold, fail. Y on 5,380,708 (8.7%), N on 47,251,124 (76.4%), null on 9,215,388 (14.9%) of this run. see variance tracker VAR-001</t>
        </is>
      </c>
    </row>
  </sheetData>
  <autoFilter ref="A3:J22"/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9" customWidth="1" min="5" max="5"/>
    <col width="12" customWidth="1" min="6" max="6"/>
    <col width="14" customWidth="1" min="7" max="7"/>
    <col width="14" customWidth="1" min="8" max="8"/>
    <col width="10" customWidth="1" min="9" max="9"/>
    <col width="48" customWidth="1" min="10" max="10"/>
  </cols>
  <sheetData>
    <row r="1" ht="20" customHeight="1">
      <c r="A1" s="5" t="inlineStr">
        <is>
          <t>OMS_PROD.ORDER_HEADER  -  profiling run 31-May-2026  -  2,694,404 rows</t>
        </is>
      </c>
    </row>
    <row r="2">
      <c r="A2" s="6" t="inlineStr">
        <is>
          <t>COLUMN_NAME</t>
        </is>
      </c>
      <c r="B2" s="6" t="inlineStr">
        <is>
          <t>DATA_TYPE</t>
        </is>
      </c>
      <c r="C2" s="6" t="inlineStr">
        <is>
          <t>ROW_COUNT</t>
        </is>
      </c>
      <c r="D2" s="6" t="inlineStr">
        <is>
          <t>NULL_COUNT</t>
        </is>
      </c>
      <c r="E2" s="6" t="inlineStr">
        <is>
          <t>NULL_PCT</t>
        </is>
      </c>
      <c r="F2" s="6" t="inlineStr">
        <is>
          <t>DISTINCT_COUNT</t>
        </is>
      </c>
      <c r="G2" s="6" t="inlineStr">
        <is>
          <t>MIN</t>
        </is>
      </c>
      <c r="H2" s="6" t="inlineStr">
        <is>
          <t>MAX</t>
        </is>
      </c>
      <c r="I2" s="6" t="inlineStr">
        <is>
          <t>PATTERN_FAIL_COUNT</t>
        </is>
      </c>
      <c r="J2" s="6" t="inlineStr">
        <is>
          <t>NOTES</t>
        </is>
      </c>
    </row>
    <row r="3" ht="30" customHeight="1">
      <c r="A3" s="7" t="inlineStr">
        <is>
          <t>ORDER_ID</t>
        </is>
      </c>
      <c r="B3" s="7" t="inlineStr">
        <is>
          <t>NUMBER(12)</t>
        </is>
      </c>
      <c r="C3" s="8" t="n">
        <v>2694404</v>
      </c>
      <c r="D3" s="8" t="n">
        <v>0</v>
      </c>
      <c r="E3" s="9" t="n">
        <v>0</v>
      </c>
      <c r="F3" s="8" t="n">
        <v>2694404</v>
      </c>
      <c r="G3" s="7" t="inlineStr"/>
      <c r="H3" s="7" t="inlineStr"/>
      <c r="I3" s="8" t="n">
        <v>0</v>
      </c>
      <c r="J3" s="10" t="inlineStr"/>
    </row>
    <row r="4" ht="30" customHeight="1">
      <c r="A4" s="7" t="inlineStr">
        <is>
          <t>ORDER_NO</t>
        </is>
      </c>
      <c r="B4" s="7" t="inlineStr">
        <is>
          <t>VARCHAR2(20)</t>
        </is>
      </c>
      <c r="C4" s="8" t="n">
        <v>2694404</v>
      </c>
      <c r="D4" s="8" t="n">
        <v>0</v>
      </c>
      <c r="E4" s="9" t="n">
        <v>0</v>
      </c>
      <c r="F4" s="8" t="n">
        <v>2694404</v>
      </c>
      <c r="G4" s="7" t="inlineStr"/>
      <c r="H4" s="7" t="inlineStr"/>
      <c r="I4" s="8" t="n">
        <v>0</v>
      </c>
      <c r="J4" s="10" t="inlineStr"/>
    </row>
    <row r="5" ht="30" customHeight="1">
      <c r="A5" s="7" t="inlineStr">
        <is>
          <t>ORDER_DT</t>
        </is>
      </c>
      <c r="B5" s="7" t="inlineStr">
        <is>
          <t>DATE</t>
        </is>
      </c>
      <c r="C5" s="8" t="n">
        <v>2694404</v>
      </c>
      <c r="D5" s="8" t="n">
        <v>29217</v>
      </c>
      <c r="E5" s="9" t="n">
        <v>0.0108435854459836</v>
      </c>
      <c r="F5" s="8" t="n">
        <v>2274862</v>
      </c>
      <c r="G5" s="7" t="inlineStr">
        <is>
          <t>01-Apr-2016</t>
        </is>
      </c>
      <c r="H5" s="7" t="inlineStr">
        <is>
          <t>31-May-2026</t>
        </is>
      </c>
      <c r="I5" s="8" t="n">
        <v>0</v>
      </c>
      <c r="J5" s="10" t="inlineStr"/>
    </row>
    <row r="6" ht="30" customHeight="1">
      <c r="A6" s="7" t="inlineStr">
        <is>
          <t>CUST_ID</t>
        </is>
      </c>
      <c r="B6" s="7" t="inlineStr">
        <is>
          <t>NUMBER(10)</t>
        </is>
      </c>
      <c r="C6" s="8" t="n">
        <v>2694404</v>
      </c>
      <c r="D6" s="8" t="n">
        <v>13397</v>
      </c>
      <c r="E6" s="9" t="n">
        <v>0.004972157107842773</v>
      </c>
      <c r="F6" s="8" t="n">
        <v>2138</v>
      </c>
      <c r="G6" s="7" t="inlineStr"/>
      <c r="H6" s="7" t="inlineStr"/>
      <c r="I6" s="8" t="n">
        <v>0</v>
      </c>
      <c r="J6" s="10" t="inlineStr">
        <is>
          <t>FK to CUSTOMER disabled in 2020 master data cleanup, never re-enabled. 2 orphan CUST_ID values not in CUSTOMER on this run</t>
        </is>
      </c>
    </row>
    <row r="7" ht="30" customHeight="1">
      <c r="A7" s="7" t="inlineStr">
        <is>
          <t>DEPOT_CD</t>
        </is>
      </c>
      <c r="B7" s="7" t="inlineStr">
        <is>
          <t>VARCHAR2(12)</t>
        </is>
      </c>
      <c r="C7" s="8" t="n">
        <v>2694404</v>
      </c>
      <c r="D7" s="8" t="n">
        <v>23789</v>
      </c>
      <c r="E7" s="9" t="n">
        <v>0.00882903974311202</v>
      </c>
      <c r="F7" s="8" t="n">
        <v>22</v>
      </c>
      <c r="G7" s="7" t="inlineStr"/>
      <c r="H7" s="7" t="inlineStr"/>
      <c r="I7" s="8" t="n">
        <v>0</v>
      </c>
      <c r="J7" s="10" t="inlineStr"/>
    </row>
    <row r="8" ht="30" customHeight="1">
      <c r="A8" s="7" t="inlineStr">
        <is>
          <t>ORDER_STATUS</t>
        </is>
      </c>
      <c r="B8" s="7" t="inlineStr">
        <is>
          <t>VARCHAR2(20)</t>
        </is>
      </c>
      <c r="C8" s="8" t="n">
        <v>2694404</v>
      </c>
      <c r="D8" s="8" t="n">
        <v>4705</v>
      </c>
      <c r="E8" s="9" t="n">
        <v>0.001746211778189165</v>
      </c>
      <c r="F8" s="8" t="n">
        <v>6</v>
      </c>
      <c r="G8" s="7" t="inlineStr"/>
      <c r="H8" s="7" t="inlineStr"/>
      <c r="I8" s="8" t="n">
        <v>0</v>
      </c>
      <c r="J8" s="10" t="inlineStr"/>
    </row>
    <row r="9" ht="30" customHeight="1">
      <c r="A9" s="7" t="inlineStr">
        <is>
          <t>CREATED_BY</t>
        </is>
      </c>
      <c r="B9" s="7" t="inlineStr">
        <is>
          <t>VARCHAR2(30)</t>
        </is>
      </c>
      <c r="C9" s="8" t="n">
        <v>2694404</v>
      </c>
      <c r="D9" s="8" t="n">
        <v>11173</v>
      </c>
      <c r="E9" s="9" t="n">
        <v>0.004146742656260903</v>
      </c>
      <c r="F9" s="8" t="n">
        <v>10</v>
      </c>
      <c r="G9" s="7" t="inlineStr"/>
      <c r="H9" s="7" t="inlineStr"/>
      <c r="I9" s="8" t="n">
        <v>0</v>
      </c>
      <c r="J9" s="10" t="inlineStr"/>
    </row>
    <row r="10" ht="30" customHeight="1">
      <c r="A10" s="7" t="inlineStr">
        <is>
          <t>CREATED_TS</t>
        </is>
      </c>
      <c r="B10" s="7" t="inlineStr">
        <is>
          <t>TIMESTAMP(6)</t>
        </is>
      </c>
      <c r="C10" s="8" t="n">
        <v>2694404</v>
      </c>
      <c r="D10" s="8" t="n">
        <v>33568</v>
      </c>
      <c r="E10" s="9" t="n">
        <v>0.0124584138087681</v>
      </c>
      <c r="F10" s="8" t="n">
        <v>2312347</v>
      </c>
      <c r="G10" s="7" t="inlineStr">
        <is>
          <t>01-Apr-2016 00:02:10</t>
        </is>
      </c>
      <c r="H10" s="7" t="inlineStr">
        <is>
          <t>31-May-2026 23:55:19</t>
        </is>
      </c>
      <c r="I10" s="8" t="n">
        <v>0</v>
      </c>
      <c r="J10" s="10" t="inlineStr"/>
    </row>
    <row r="11" ht="30" customHeight="1">
      <c r="A11" s="7" t="inlineStr">
        <is>
          <t>LAST_UPD_BY</t>
        </is>
      </c>
      <c r="B11" s="7" t="inlineStr">
        <is>
          <t>VARCHAR2(30)</t>
        </is>
      </c>
      <c r="C11" s="8" t="n">
        <v>2694404</v>
      </c>
      <c r="D11" s="8" t="n">
        <v>29104</v>
      </c>
      <c r="E11" s="9" t="n">
        <v>0.01080164667213974</v>
      </c>
      <c r="F11" s="8" t="n">
        <v>9</v>
      </c>
      <c r="G11" s="7" t="inlineStr"/>
      <c r="H11" s="7" t="inlineStr"/>
      <c r="I11" s="8" t="n">
        <v>0</v>
      </c>
      <c r="J11" s="10" t="inlineStr"/>
    </row>
    <row r="12" ht="30" customHeight="1">
      <c r="A12" s="7" t="inlineStr">
        <is>
          <t>LAST_UPD_DT</t>
        </is>
      </c>
      <c r="B12" s="7" t="inlineStr">
        <is>
          <t>DATE</t>
        </is>
      </c>
      <c r="C12" s="8" t="n">
        <v>2694404</v>
      </c>
      <c r="D12" s="8" t="n">
        <v>13769</v>
      </c>
      <c r="E12" s="9" t="n">
        <v>0.005110221035895137</v>
      </c>
      <c r="F12" s="8" t="n">
        <v>1946261</v>
      </c>
      <c r="G12" s="7" t="inlineStr">
        <is>
          <t>01-Apr-2016</t>
        </is>
      </c>
      <c r="H12" s="7" t="inlineStr">
        <is>
          <t>31-May-2026</t>
        </is>
      </c>
      <c r="I12" s="8" t="n">
        <v>0</v>
      </c>
      <c r="J12" s="10" t="inlineStr"/>
    </row>
    <row r="13" ht="30" customHeight="1">
      <c r="A13" s="7" t="inlineStr">
        <is>
          <t>ACTIVE_FLG</t>
        </is>
      </c>
      <c r="B13" s="7" t="inlineStr">
        <is>
          <t>CHAR(1)</t>
        </is>
      </c>
      <c r="C13" s="8" t="n">
        <v>2694404</v>
      </c>
      <c r="D13" s="8" t="n">
        <v>0</v>
      </c>
      <c r="E13" s="9" t="n">
        <v>0</v>
      </c>
      <c r="F13" s="8" t="n">
        <v>2</v>
      </c>
      <c r="G13" s="7" t="inlineStr">
        <is>
          <t>N</t>
        </is>
      </c>
      <c r="H13" s="7" t="inlineStr">
        <is>
          <t>Y</t>
        </is>
      </c>
      <c r="I13" s="8" t="n">
        <v>0</v>
      </c>
      <c r="J13" s="10" t="inlineStr"/>
    </row>
    <row r="14" ht="30" customHeight="1">
      <c r="A14" s="7" t="inlineStr">
        <is>
          <t>DELETE_FLAG</t>
        </is>
      </c>
      <c r="B14" s="7" t="inlineStr">
        <is>
          <t>CHAR(1)</t>
        </is>
      </c>
      <c r="C14" s="8" t="n">
        <v>2694404</v>
      </c>
      <c r="D14" s="8" t="n">
        <v>6204</v>
      </c>
      <c r="E14" s="9" t="n">
        <v>0.002302550025905543</v>
      </c>
      <c r="F14" s="8" t="n">
        <v>2</v>
      </c>
      <c r="G14" s="7" t="inlineStr">
        <is>
          <t>N</t>
        </is>
      </c>
      <c r="H14" s="7" t="inlineStr">
        <is>
          <t>Y</t>
        </is>
      </c>
      <c r="I14" s="8" t="n">
        <v>0</v>
      </c>
      <c r="J14" s="10" t="inlineStr"/>
    </row>
  </sheetData>
  <autoFilter ref="A2:J14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9" customWidth="1" min="5" max="5"/>
    <col width="12" customWidth="1" min="6" max="6"/>
    <col width="14" customWidth="1" min="7" max="7"/>
    <col width="14" customWidth="1" min="8" max="8"/>
    <col width="10" customWidth="1" min="9" max="9"/>
    <col width="48" customWidth="1" min="10" max="10"/>
  </cols>
  <sheetData>
    <row r="1" ht="20" customHeight="1">
      <c r="A1" s="5" t="inlineStr">
        <is>
          <t>OMS_PROD.ORDER_LINE  -  profiling run 31-May-2026  -  12,230,494 rows</t>
        </is>
      </c>
    </row>
    <row r="2" ht="30" customHeight="1">
      <c r="A2" s="11" t="inlineStr">
        <is>
          <t>Quantities are in the ordering UOM, not normalised to a base UOM - conversion happens downstream. not a completeness issue, flagging so it is not raised again as one.</t>
        </is>
      </c>
    </row>
    <row r="3">
      <c r="A3" s="6" t="inlineStr">
        <is>
          <t>COLUMN_NAME</t>
        </is>
      </c>
      <c r="B3" s="6" t="inlineStr">
        <is>
          <t>DATA_TYPE</t>
        </is>
      </c>
      <c r="C3" s="6" t="inlineStr">
        <is>
          <t>ROW_COUNT</t>
        </is>
      </c>
      <c r="D3" s="6" t="inlineStr">
        <is>
          <t>NULL_COUNT</t>
        </is>
      </c>
      <c r="E3" s="6" t="inlineStr">
        <is>
          <t>NULL_PCT</t>
        </is>
      </c>
      <c r="F3" s="6" t="inlineStr">
        <is>
          <t>DISTINCT_COUNT</t>
        </is>
      </c>
      <c r="G3" s="6" t="inlineStr">
        <is>
          <t>MIN</t>
        </is>
      </c>
      <c r="H3" s="6" t="inlineStr">
        <is>
          <t>MAX</t>
        </is>
      </c>
      <c r="I3" s="6" t="inlineStr">
        <is>
          <t>PATTERN_FAIL_COUNT</t>
        </is>
      </c>
      <c r="J3" s="6" t="inlineStr">
        <is>
          <t>NOTES</t>
        </is>
      </c>
    </row>
    <row r="4" ht="30" customHeight="1">
      <c r="A4" s="7" t="inlineStr">
        <is>
          <t>ORDER_LINE_ID</t>
        </is>
      </c>
      <c r="B4" s="7" t="inlineStr">
        <is>
          <t>NUMBER(12)</t>
        </is>
      </c>
      <c r="C4" s="8" t="n">
        <v>12230494</v>
      </c>
      <c r="D4" s="8" t="n">
        <v>0</v>
      </c>
      <c r="E4" s="9" t="n">
        <v>0</v>
      </c>
      <c r="F4" s="8" t="n">
        <v>12230494</v>
      </c>
      <c r="G4" s="7" t="inlineStr"/>
      <c r="H4" s="7" t="inlineStr"/>
      <c r="I4" s="8" t="n">
        <v>0</v>
      </c>
      <c r="J4" s="10" t="inlineStr"/>
    </row>
    <row r="5" ht="30" customHeight="1">
      <c r="A5" s="7" t="inlineStr">
        <is>
          <t>ORDER_ID</t>
        </is>
      </c>
      <c r="B5" s="7" t="inlineStr">
        <is>
          <t>NUMBER(12)</t>
        </is>
      </c>
      <c r="C5" s="8" t="n">
        <v>12230494</v>
      </c>
      <c r="D5" s="8" t="n">
        <v>0</v>
      </c>
      <c r="E5" s="9" t="n">
        <v>0</v>
      </c>
      <c r="F5" s="8" t="n">
        <v>10093275</v>
      </c>
      <c r="G5" s="7" t="inlineStr"/>
      <c r="H5" s="7" t="inlineStr"/>
      <c r="I5" s="8" t="n">
        <v>0</v>
      </c>
      <c r="J5" s="10" t="inlineStr"/>
    </row>
    <row r="6" ht="30" customHeight="1">
      <c r="A6" s="7" t="inlineStr">
        <is>
          <t>LINE_NO</t>
        </is>
      </c>
      <c r="B6" s="7" t="inlineStr">
        <is>
          <t>NUMBER(4)</t>
        </is>
      </c>
      <c r="C6" s="8" t="n">
        <v>12230494</v>
      </c>
      <c r="D6" s="8" t="n">
        <v>0</v>
      </c>
      <c r="E6" s="9" t="n">
        <v>0</v>
      </c>
      <c r="F6" s="8" t="n">
        <v>52</v>
      </c>
      <c r="G6" s="7" t="n">
        <v>1</v>
      </c>
      <c r="H6" s="7" t="n">
        <v>52</v>
      </c>
      <c r="I6" s="8" t="n">
        <v>0</v>
      </c>
      <c r="J6" s="10" t="inlineStr"/>
    </row>
    <row r="7" ht="30" customHeight="1">
      <c r="A7" s="7" t="inlineStr">
        <is>
          <t>SKU_ID</t>
        </is>
      </c>
      <c r="B7" s="7" t="inlineStr">
        <is>
          <t>NUMBER(10)</t>
        </is>
      </c>
      <c r="C7" s="8" t="n">
        <v>12230494</v>
      </c>
      <c r="D7" s="8" t="n">
        <v>182919</v>
      </c>
      <c r="E7" s="9" t="n">
        <v>0.01495597806597182</v>
      </c>
      <c r="F7" s="8" t="n">
        <v>1246</v>
      </c>
      <c r="G7" s="7" t="inlineStr"/>
      <c r="H7" s="7" t="inlineStr"/>
      <c r="I7" s="8" t="n">
        <v>0</v>
      </c>
      <c r="J7" s="10" t="inlineStr"/>
    </row>
    <row r="8" ht="30" customHeight="1">
      <c r="A8" s="7" t="inlineStr">
        <is>
          <t>QTY_CS</t>
        </is>
      </c>
      <c r="B8" s="7" t="inlineStr">
        <is>
          <t>NUMBER(12,3)</t>
        </is>
      </c>
      <c r="C8" s="8" t="n">
        <v>12230494</v>
      </c>
      <c r="D8" s="8" t="n">
        <v>129151</v>
      </c>
      <c r="E8" s="9" t="n">
        <v>0.01055975335092761</v>
      </c>
      <c r="F8" s="8" t="n">
        <v>10036739</v>
      </c>
      <c r="G8" s="7" t="n">
        <v>0.5</v>
      </c>
      <c r="H8" s="7" t="n">
        <v>1400</v>
      </c>
      <c r="I8" s="8" t="n">
        <v>0</v>
      </c>
      <c r="J8" s="10" t="inlineStr"/>
    </row>
    <row r="9" ht="30" customHeight="1">
      <c r="A9" s="7" t="inlineStr">
        <is>
          <t>QTY_EA</t>
        </is>
      </c>
      <c r="B9" s="7" t="inlineStr">
        <is>
          <t>NUMBER(12,3)</t>
        </is>
      </c>
      <c r="C9" s="8" t="n">
        <v>12230494</v>
      </c>
      <c r="D9" s="8" t="n">
        <v>173428</v>
      </c>
      <c r="E9" s="9" t="n">
        <v>0.01417996689258831</v>
      </c>
      <c r="F9" s="8" t="n">
        <v>9779053</v>
      </c>
      <c r="G9" s="7" t="n">
        <v>1</v>
      </c>
      <c r="H9" s="7" t="n">
        <v>56000</v>
      </c>
      <c r="I9" s="8" t="n">
        <v>0</v>
      </c>
      <c r="J9" s="10" t="inlineStr"/>
    </row>
    <row r="10" ht="30" customHeight="1">
      <c r="A10" s="7" t="inlineStr">
        <is>
          <t>CREATED_BY</t>
        </is>
      </c>
      <c r="B10" s="7" t="inlineStr">
        <is>
          <t>VARCHAR2(30)</t>
        </is>
      </c>
      <c r="C10" s="8" t="n">
        <v>12230494</v>
      </c>
      <c r="D10" s="8" t="n">
        <v>89760</v>
      </c>
      <c r="E10" s="9" t="n">
        <v>0.007339033075851229</v>
      </c>
      <c r="F10" s="8" t="n">
        <v>10</v>
      </c>
      <c r="G10" s="7" t="inlineStr"/>
      <c r="H10" s="7" t="inlineStr"/>
      <c r="I10" s="8" t="n">
        <v>0</v>
      </c>
      <c r="J10" s="10" t="inlineStr"/>
    </row>
    <row r="11" ht="30" customHeight="1">
      <c r="A11" s="7" t="inlineStr">
        <is>
          <t>CREATED_DT</t>
        </is>
      </c>
      <c r="B11" s="7" t="inlineStr">
        <is>
          <t>DATE</t>
        </is>
      </c>
      <c r="C11" s="8" t="n">
        <v>12230494</v>
      </c>
      <c r="D11" s="8" t="n">
        <v>122969</v>
      </c>
      <c r="E11" s="9" t="n">
        <v>0.01005429543565452</v>
      </c>
      <c r="F11" s="8" t="n">
        <v>7764460</v>
      </c>
      <c r="G11" s="7" t="inlineStr">
        <is>
          <t>01-Apr-2016</t>
        </is>
      </c>
      <c r="H11" s="7" t="inlineStr">
        <is>
          <t>31-May-2026</t>
        </is>
      </c>
      <c r="I11" s="8" t="n">
        <v>0</v>
      </c>
      <c r="J11" s="10" t="inlineStr"/>
    </row>
    <row r="12" ht="30" customHeight="1">
      <c r="A12" s="7" t="inlineStr">
        <is>
          <t>LAST_UPD_BY</t>
        </is>
      </c>
      <c r="B12" s="7" t="inlineStr">
        <is>
          <t>VARCHAR2(30)</t>
        </is>
      </c>
      <c r="C12" s="8" t="n">
        <v>12230494</v>
      </c>
      <c r="D12" s="8" t="n">
        <v>153431</v>
      </c>
      <c r="E12" s="9" t="n">
        <v>0.01254495525691767</v>
      </c>
      <c r="F12" s="8" t="n">
        <v>9</v>
      </c>
      <c r="G12" s="7" t="inlineStr"/>
      <c r="H12" s="7" t="inlineStr"/>
      <c r="I12" s="8" t="n">
        <v>0</v>
      </c>
      <c r="J12" s="10" t="inlineStr"/>
    </row>
    <row r="13" ht="30" customHeight="1">
      <c r="A13" s="7" t="inlineStr">
        <is>
          <t>LAST_UPD_DT</t>
        </is>
      </c>
      <c r="B13" s="7" t="inlineStr">
        <is>
          <t>DATE</t>
        </is>
      </c>
      <c r="C13" s="8" t="n">
        <v>12230494</v>
      </c>
      <c r="D13" s="8" t="n">
        <v>177413</v>
      </c>
      <c r="E13" s="9" t="n">
        <v>0.01450579183473701</v>
      </c>
      <c r="F13" s="8" t="n">
        <v>10709488</v>
      </c>
      <c r="G13" s="7" t="inlineStr">
        <is>
          <t>01-Apr-2016</t>
        </is>
      </c>
      <c r="H13" s="7" t="inlineStr">
        <is>
          <t>31-May-2026</t>
        </is>
      </c>
      <c r="I13" s="8" t="n">
        <v>0</v>
      </c>
      <c r="J13" s="10" t="inlineStr"/>
    </row>
    <row r="14" ht="30" customHeight="1">
      <c r="A14" s="7" t="inlineStr">
        <is>
          <t>ACTIVE_FLG</t>
        </is>
      </c>
      <c r="B14" s="7" t="inlineStr">
        <is>
          <t>CHAR(1)</t>
        </is>
      </c>
      <c r="C14" s="8" t="n">
        <v>12230494</v>
      </c>
      <c r="D14" s="8" t="n">
        <v>0</v>
      </c>
      <c r="E14" s="9" t="n">
        <v>0</v>
      </c>
      <c r="F14" s="8" t="n">
        <v>2</v>
      </c>
      <c r="G14" s="7" t="inlineStr">
        <is>
          <t>N</t>
        </is>
      </c>
      <c r="H14" s="7" t="inlineStr">
        <is>
          <t>Y</t>
        </is>
      </c>
      <c r="I14" s="8" t="n">
        <v>0</v>
      </c>
      <c r="J14" s="10" t="inlineStr"/>
    </row>
    <row r="15" ht="30" customHeight="1">
      <c r="A15" s="7" t="inlineStr">
        <is>
          <t>DELETE_FLAG</t>
        </is>
      </c>
      <c r="B15" s="7" t="inlineStr">
        <is>
          <t>CHAR(1)</t>
        </is>
      </c>
      <c r="C15" s="8" t="n">
        <v>12230494</v>
      </c>
      <c r="D15" s="8" t="n">
        <v>91093</v>
      </c>
      <c r="E15" s="9" t="n">
        <v>0.007448022949849777</v>
      </c>
      <c r="F15" s="8" t="n">
        <v>2</v>
      </c>
      <c r="G15" s="7" t="inlineStr">
        <is>
          <t>N</t>
        </is>
      </c>
      <c r="H15" s="7" t="inlineStr">
        <is>
          <t>Y</t>
        </is>
      </c>
      <c r="I15" s="8" t="n">
        <v>0</v>
      </c>
      <c r="J15" s="10" t="inlineStr"/>
    </row>
  </sheetData>
  <autoFilter ref="A3:J15"/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9" customWidth="1" min="5" max="5"/>
    <col width="12" customWidth="1" min="6" max="6"/>
    <col width="14" customWidth="1" min="7" max="7"/>
    <col width="14" customWidth="1" min="8" max="8"/>
    <col width="10" customWidth="1" min="9" max="9"/>
    <col width="48" customWidth="1" min="10" max="10"/>
  </cols>
  <sheetData>
    <row r="1" ht="20" customHeight="1">
      <c r="A1" s="5" t="inlineStr">
        <is>
          <t>BCPL_EDW.DIM_CUSTOMER  -  profiling run 31-May-2026  -  2,140 rows</t>
        </is>
      </c>
    </row>
    <row r="2" ht="30" customHeight="1">
      <c r="A2" s="11" t="inlineStr">
        <is>
          <t>Duplicate customer evidence: DQ-R-07 (uniqueness, exactly one CURRENT_FLG='Y' row per CUSTOMER_ID) and DQ-R-23 (consistency, every fact row resolves to a current DIM_CUSTOMER row) both fail on this table this run - see CUSTOMER_ID row below. against which rule - both, they are measuring the same underlying problem from two angles.</t>
        </is>
      </c>
    </row>
    <row r="3">
      <c r="A3" s="6" t="inlineStr">
        <is>
          <t>COLUMN_NAME</t>
        </is>
      </c>
      <c r="B3" s="6" t="inlineStr">
        <is>
          <t>DATA_TYPE</t>
        </is>
      </c>
      <c r="C3" s="6" t="inlineStr">
        <is>
          <t>ROW_COUNT</t>
        </is>
      </c>
      <c r="D3" s="6" t="inlineStr">
        <is>
          <t>NULL_COUNT</t>
        </is>
      </c>
      <c r="E3" s="6" t="inlineStr">
        <is>
          <t>NULL_PCT</t>
        </is>
      </c>
      <c r="F3" s="6" t="inlineStr">
        <is>
          <t>DISTINCT_COUNT</t>
        </is>
      </c>
      <c r="G3" s="6" t="inlineStr">
        <is>
          <t>MIN</t>
        </is>
      </c>
      <c r="H3" s="6" t="inlineStr">
        <is>
          <t>MAX</t>
        </is>
      </c>
      <c r="I3" s="6" t="inlineStr">
        <is>
          <t>PATTERN_FAIL_COUNT</t>
        </is>
      </c>
      <c r="J3" s="6" t="inlineStr">
        <is>
          <t>NOTES</t>
        </is>
      </c>
    </row>
    <row r="4" ht="30" customHeight="1">
      <c r="A4" s="7" t="inlineStr">
        <is>
          <t>CUSTOMER_KEY</t>
        </is>
      </c>
      <c r="B4" s="7" t="inlineStr">
        <is>
          <t>NUMBER(10)</t>
        </is>
      </c>
      <c r="C4" s="8" t="n">
        <v>2140</v>
      </c>
      <c r="D4" s="8" t="n">
        <v>0</v>
      </c>
      <c r="E4" s="9" t="n">
        <v>0</v>
      </c>
      <c r="F4" s="8" t="n">
        <v>2140</v>
      </c>
      <c r="G4" s="7" t="inlineStr"/>
      <c r="H4" s="7" t="inlineStr"/>
      <c r="I4" s="8" t="n">
        <v>0</v>
      </c>
      <c r="J4" s="10" t="inlineStr">
        <is>
          <t>-1 is the UNKNOWN member, present once, excluded from the 2,140.</t>
        </is>
      </c>
    </row>
    <row r="5" ht="30" customHeight="1">
      <c r="A5" s="12" t="inlineStr">
        <is>
          <t>CUSTOMER_ID</t>
        </is>
      </c>
      <c r="B5" s="12" t="inlineStr">
        <is>
          <t>NUMBER(10)</t>
        </is>
      </c>
      <c r="C5" s="13" t="n">
        <v>2140</v>
      </c>
      <c r="D5" s="13" t="n">
        <v>0</v>
      </c>
      <c r="E5" s="14" t="n">
        <v>0</v>
      </c>
      <c r="F5" s="13" t="n">
        <v>2122</v>
      </c>
      <c r="G5" s="12" t="inlineStr"/>
      <c r="H5" s="12" t="inlineStr"/>
      <c r="I5" s="13" t="n">
        <v>18</v>
      </c>
      <c r="J5" s="15" t="inlineStr">
        <is>
          <t>DQ-R-07: 99.16% pass (2,122 of 2,140 CUSTOMER_ID values map to exactly one CURRENT_FLG='Y' row) against a 100% threshold - fail. 18 CUSTOMER_ID values carry two current rows simultaneously. see variance tracker VAR-004, worked example DIST-W-0241</t>
        </is>
      </c>
    </row>
    <row r="6" ht="30" customHeight="1">
      <c r="A6" s="7" t="inlineStr">
        <is>
          <t>CUSTOMER_CODE</t>
        </is>
      </c>
      <c r="B6" s="7" t="inlineStr">
        <is>
          <t>VARCHAR2(20)</t>
        </is>
      </c>
      <c r="C6" s="8" t="n">
        <v>2140</v>
      </c>
      <c r="D6" s="8" t="n">
        <v>15</v>
      </c>
      <c r="E6" s="9" t="n">
        <v>0.007009345794392523</v>
      </c>
      <c r="F6" s="8" t="n">
        <v>2122</v>
      </c>
      <c r="G6" s="7" t="inlineStr"/>
      <c r="H6" s="7" t="inlineStr"/>
      <c r="I6" s="8" t="n">
        <v>0</v>
      </c>
      <c r="J6" s="10" t="inlineStr"/>
    </row>
    <row r="7" ht="30" customHeight="1">
      <c r="A7" s="7" t="inlineStr">
        <is>
          <t>CUSTOMER_NAME</t>
        </is>
      </c>
      <c r="B7" s="7" t="inlineStr">
        <is>
          <t>VARCHAR2(120)</t>
        </is>
      </c>
      <c r="C7" s="8" t="n">
        <v>2140</v>
      </c>
      <c r="D7" s="8" t="n">
        <v>30</v>
      </c>
      <c r="E7" s="9" t="n">
        <v>0.01401869158878505</v>
      </c>
      <c r="F7" s="8" t="n">
        <v>2116</v>
      </c>
      <c r="G7" s="7" t="inlineStr"/>
      <c r="H7" s="7" t="inlineStr"/>
      <c r="I7" s="8" t="n">
        <v>0</v>
      </c>
      <c r="J7" s="10" t="inlineStr"/>
    </row>
    <row r="8" ht="30" customHeight="1">
      <c r="A8" s="7" t="inlineStr">
        <is>
          <t>CUSTOMER_TYPE</t>
        </is>
      </c>
      <c r="B8" s="7" t="inlineStr">
        <is>
          <t>VARCHAR2(20)</t>
        </is>
      </c>
      <c r="C8" s="8" t="n">
        <v>2140</v>
      </c>
      <c r="D8" s="8" t="n">
        <v>16</v>
      </c>
      <c r="E8" s="9" t="n">
        <v>0.007476635514018692</v>
      </c>
      <c r="F8" s="8" t="n">
        <v>3</v>
      </c>
      <c r="G8" s="7" t="inlineStr"/>
      <c r="H8" s="7" t="inlineStr"/>
      <c r="I8" s="8" t="n">
        <v>0</v>
      </c>
      <c r="J8" s="10" t="inlineStr"/>
    </row>
    <row r="9" ht="30" customHeight="1">
      <c r="A9" s="7" t="inlineStr">
        <is>
          <t>TERRITORY_CODE</t>
        </is>
      </c>
      <c r="B9" s="7" t="inlineStr">
        <is>
          <t>VARCHAR2(12)</t>
        </is>
      </c>
      <c r="C9" s="8" t="n">
        <v>2140</v>
      </c>
      <c r="D9" s="8" t="n">
        <v>5</v>
      </c>
      <c r="E9" s="9" t="n">
        <v>0.002336448598130841</v>
      </c>
      <c r="F9" s="8" t="n">
        <v>118</v>
      </c>
      <c r="G9" s="7" t="inlineStr"/>
      <c r="H9" s="7" t="inlineStr"/>
      <c r="I9" s="8" t="n">
        <v>0</v>
      </c>
      <c r="J9" s="10" t="inlineStr"/>
    </row>
    <row r="10" ht="30" customHeight="1">
      <c r="A10" s="7" t="inlineStr">
        <is>
          <t>REGION_CODE</t>
        </is>
      </c>
      <c r="B10" s="7" t="inlineStr">
        <is>
          <t>VARCHAR2(6)</t>
        </is>
      </c>
      <c r="C10" s="8" t="n">
        <v>2140</v>
      </c>
      <c r="D10" s="8" t="n">
        <v>26</v>
      </c>
      <c r="E10" s="9" t="n">
        <v>0.01214953271028037</v>
      </c>
      <c r="F10" s="8" t="n">
        <v>4</v>
      </c>
      <c r="G10" s="7" t="inlineStr"/>
      <c r="H10" s="7" t="inlineStr"/>
      <c r="I10" s="8" t="n">
        <v>0</v>
      </c>
      <c r="J10" s="10" t="inlineStr"/>
    </row>
    <row r="11" ht="30" customHeight="1">
      <c r="A11" s="7" t="inlineStr">
        <is>
          <t>STATE_CODE</t>
        </is>
      </c>
      <c r="B11" s="7" t="inlineStr">
        <is>
          <t>VARCHAR2(6)</t>
        </is>
      </c>
      <c r="C11" s="8" t="n">
        <v>2140</v>
      </c>
      <c r="D11" s="8" t="n">
        <v>6</v>
      </c>
      <c r="E11" s="9" t="n">
        <v>0.002803738317757009</v>
      </c>
      <c r="F11" s="8" t="n">
        <v>19</v>
      </c>
      <c r="G11" s="7" t="inlineStr"/>
      <c r="H11" s="7" t="inlineStr"/>
      <c r="I11" s="8" t="n">
        <v>0</v>
      </c>
      <c r="J11" s="10" t="inlineStr"/>
    </row>
    <row r="12" ht="30" customHeight="1">
      <c r="A12" s="7" t="inlineStr">
        <is>
          <t>DEPOT_CODE</t>
        </is>
      </c>
      <c r="B12" s="7" t="inlineStr">
        <is>
          <t>VARCHAR2(12)</t>
        </is>
      </c>
      <c r="C12" s="8" t="n">
        <v>2140</v>
      </c>
      <c r="D12" s="8" t="n">
        <v>17</v>
      </c>
      <c r="E12" s="9" t="n">
        <v>0.00794392523364486</v>
      </c>
      <c r="F12" s="8" t="n">
        <v>22</v>
      </c>
      <c r="G12" s="7" t="inlineStr"/>
      <c r="H12" s="7" t="inlineStr"/>
      <c r="I12" s="8" t="n">
        <v>0</v>
      </c>
      <c r="J12" s="10" t="inlineStr"/>
    </row>
    <row r="13" ht="30" customHeight="1">
      <c r="A13" s="7" t="inlineStr">
        <is>
          <t>CREDIT_LIMIT_AMT</t>
        </is>
      </c>
      <c r="B13" s="7" t="inlineStr">
        <is>
          <t>NUMBER(14,2)</t>
        </is>
      </c>
      <c r="C13" s="8" t="n">
        <v>2140</v>
      </c>
      <c r="D13" s="8" t="n">
        <v>30</v>
      </c>
      <c r="E13" s="9" t="n">
        <v>0.01401869158878505</v>
      </c>
      <c r="F13" s="8" t="n">
        <v>1329</v>
      </c>
      <c r="G13" s="7" t="n">
        <v>50000</v>
      </c>
      <c r="H13" s="7" t="n">
        <v>25000000</v>
      </c>
      <c r="I13" s="8" t="n">
        <v>0</v>
      </c>
      <c r="J13" s="10" t="inlineStr"/>
    </row>
    <row r="14" ht="30" customHeight="1">
      <c r="A14" s="7" t="inlineStr">
        <is>
          <t>EFF_START_DT</t>
        </is>
      </c>
      <c r="B14" s="7" t="inlineStr">
        <is>
          <t>DATE</t>
        </is>
      </c>
      <c r="C14" s="8" t="n">
        <v>2140</v>
      </c>
      <c r="D14" s="8" t="n">
        <v>1</v>
      </c>
      <c r="E14" s="9" t="n">
        <v>0.0004672897196261682</v>
      </c>
      <c r="F14" s="8" t="n">
        <v>1844</v>
      </c>
      <c r="G14" s="7" t="inlineStr">
        <is>
          <t>14-Jun-2011</t>
        </is>
      </c>
      <c r="H14" s="7" t="inlineStr">
        <is>
          <t>17-Aug-2026</t>
        </is>
      </c>
      <c r="I14" s="8" t="n">
        <v>0</v>
      </c>
      <c r="J14" s="10" t="inlineStr"/>
    </row>
    <row r="15" ht="30" customHeight="1">
      <c r="A15" s="7" t="inlineStr">
        <is>
          <t>EFF_END_DT</t>
        </is>
      </c>
      <c r="B15" s="7" t="inlineStr">
        <is>
          <t>DATE</t>
        </is>
      </c>
      <c r="C15" s="8" t="n">
        <v>2140</v>
      </c>
      <c r="D15" s="8" t="n">
        <v>2122</v>
      </c>
      <c r="E15" s="9" t="n">
        <v>0.991588785046729</v>
      </c>
      <c r="F15" s="8" t="n">
        <v>15</v>
      </c>
      <c r="G15" s="7" t="inlineStr"/>
      <c r="H15" s="7" t="inlineStr"/>
      <c r="I15" s="8" t="n">
        <v>0</v>
      </c>
      <c r="J15" s="10" t="inlineStr">
        <is>
          <t>null = current. 18 extra rows are null here that should have been closed - the SCD2 half of VAR-004, mirrors CUSTOMER_ID row above</t>
        </is>
      </c>
    </row>
    <row r="16" ht="30" customHeight="1">
      <c r="A16" s="7" t="inlineStr">
        <is>
          <t>CURRENT_FLG</t>
        </is>
      </c>
      <c r="B16" s="7" t="inlineStr">
        <is>
          <t>CHAR(1)</t>
        </is>
      </c>
      <c r="C16" s="8" t="n">
        <v>2140</v>
      </c>
      <c r="D16" s="8" t="n">
        <v>0</v>
      </c>
      <c r="E16" s="9" t="n">
        <v>0</v>
      </c>
      <c r="F16" s="8" t="n">
        <v>1</v>
      </c>
      <c r="G16" s="7" t="inlineStr">
        <is>
          <t>Y</t>
        </is>
      </c>
      <c r="H16" s="7" t="inlineStr">
        <is>
          <t>Y</t>
        </is>
      </c>
      <c r="I16" s="8" t="n">
        <v>0</v>
      </c>
      <c r="J16" s="10" t="inlineStr">
        <is>
          <t>every row on this table is currently flagged Y at profiling time, including the 18 duplicate CUSTOMER_ID rows - see CUSTOMER_ID row</t>
        </is>
      </c>
    </row>
    <row r="17" ht="30" customHeight="1">
      <c r="A17" s="7" t="inlineStr">
        <is>
          <t>LOAD_DT</t>
        </is>
      </c>
      <c r="B17" s="7" t="inlineStr">
        <is>
          <t>DATE</t>
        </is>
      </c>
      <c r="C17" s="8" t="n">
        <v>2140</v>
      </c>
      <c r="D17" s="8" t="n">
        <v>3</v>
      </c>
      <c r="E17" s="9" t="n">
        <v>0.001401869158878505</v>
      </c>
      <c r="F17" s="8" t="n">
        <v>1614</v>
      </c>
      <c r="G17" s="7" t="inlineStr">
        <is>
          <t>14-Jun-2011</t>
        </is>
      </c>
      <c r="H17" s="7" t="inlineStr">
        <is>
          <t>31-May-2026</t>
        </is>
      </c>
      <c r="I17" s="8" t="n">
        <v>0</v>
      </c>
      <c r="J17" s="10" t="inlineStr"/>
    </row>
    <row r="18" ht="30" customHeight="1">
      <c r="A18" s="7" t="inlineStr">
        <is>
          <t>UPD_DT</t>
        </is>
      </c>
      <c r="B18" s="7" t="inlineStr">
        <is>
          <t>DATE</t>
        </is>
      </c>
      <c r="C18" s="8" t="n">
        <v>2140</v>
      </c>
      <c r="D18" s="8" t="n">
        <v>19</v>
      </c>
      <c r="E18" s="9" t="n">
        <v>0.008878504672897197</v>
      </c>
      <c r="F18" s="8" t="n">
        <v>1341</v>
      </c>
      <c r="G18" s="7" t="inlineStr">
        <is>
          <t>14-Jun-2011</t>
        </is>
      </c>
      <c r="H18" s="7" t="inlineStr">
        <is>
          <t>31-May-2026</t>
        </is>
      </c>
      <c r="I18" s="8" t="n">
        <v>0</v>
      </c>
      <c r="J18" s="10" t="inlineStr"/>
    </row>
  </sheetData>
  <autoFilter ref="A3:J18"/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9" customWidth="1" min="5" max="5"/>
    <col width="12" customWidth="1" min="6" max="6"/>
    <col width="14" customWidth="1" min="7" max="7"/>
    <col width="14" customWidth="1" min="8" max="8"/>
    <col width="10" customWidth="1" min="9" max="9"/>
    <col width="48" customWidth="1" min="10" max="10"/>
  </cols>
  <sheetData>
    <row r="1" ht="20" customHeight="1">
      <c r="A1" s="5" t="inlineStr">
        <is>
          <t>BCPL_EDW.FACT_SECONDARY_SALES  -  profiling run 31-May-2026  -  9,940,180 rows</t>
        </is>
      </c>
    </row>
    <row r="2" ht="30" customHeight="1">
      <c r="A2" s="11" t="inlineStr">
        <is>
          <t>Standing caveat, not a rule failure as such: secondary sales distributor coverage from the DMS upload is 74% with a 5 day feed lag on this run. against which rule - none formally, informational only, but it is a big part of why Sales Ops numbers do not tie to anyone else's.</t>
        </is>
      </c>
    </row>
    <row r="3">
      <c r="A3" s="6" t="inlineStr">
        <is>
          <t>COLUMN_NAME</t>
        </is>
      </c>
      <c r="B3" s="6" t="inlineStr">
        <is>
          <t>DATA_TYPE</t>
        </is>
      </c>
      <c r="C3" s="6" t="inlineStr">
        <is>
          <t>ROW_COUNT</t>
        </is>
      </c>
      <c r="D3" s="6" t="inlineStr">
        <is>
          <t>NULL_COUNT</t>
        </is>
      </c>
      <c r="E3" s="6" t="inlineStr">
        <is>
          <t>NULL_PCT</t>
        </is>
      </c>
      <c r="F3" s="6" t="inlineStr">
        <is>
          <t>DISTINCT_COUNT</t>
        </is>
      </c>
      <c r="G3" s="6" t="inlineStr">
        <is>
          <t>MIN</t>
        </is>
      </c>
      <c r="H3" s="6" t="inlineStr">
        <is>
          <t>MAX</t>
        </is>
      </c>
      <c r="I3" s="6" t="inlineStr">
        <is>
          <t>PATTERN_FAIL_COUNT</t>
        </is>
      </c>
      <c r="J3" s="6" t="inlineStr">
        <is>
          <t>NOTES</t>
        </is>
      </c>
    </row>
    <row r="4" ht="30" customHeight="1">
      <c r="A4" s="7" t="inlineStr">
        <is>
          <t>SECONDARY_KEY</t>
        </is>
      </c>
      <c r="B4" s="7" t="inlineStr">
        <is>
          <t>NUMBER(14)</t>
        </is>
      </c>
      <c r="C4" s="8" t="n">
        <v>9940180</v>
      </c>
      <c r="D4" s="8" t="n">
        <v>0</v>
      </c>
      <c r="E4" s="9" t="n">
        <v>0</v>
      </c>
      <c r="F4" s="8" t="n">
        <v>9940180</v>
      </c>
      <c r="G4" s="7" t="inlineStr"/>
      <c r="H4" s="7" t="inlineStr"/>
      <c r="I4" s="8" t="n">
        <v>0</v>
      </c>
      <c r="J4" s="10" t="inlineStr"/>
    </row>
    <row r="5" ht="30" customHeight="1">
      <c r="A5" s="7" t="inlineStr">
        <is>
          <t>DATE_KEY</t>
        </is>
      </c>
      <c r="B5" s="7" t="inlineStr">
        <is>
          <t>NUMBER(8)</t>
        </is>
      </c>
      <c r="C5" s="8" t="n">
        <v>9940180</v>
      </c>
      <c r="D5" s="8" t="n">
        <v>64206</v>
      </c>
      <c r="E5" s="9" t="n">
        <v>0.006459239168707206</v>
      </c>
      <c r="F5" s="8" t="n">
        <v>1826</v>
      </c>
      <c r="G5" s="7" t="inlineStr"/>
      <c r="H5" s="7" t="inlineStr"/>
      <c r="I5" s="8" t="n">
        <v>0</v>
      </c>
      <c r="J5" s="10" t="inlineStr"/>
    </row>
    <row r="6" ht="30" customHeight="1">
      <c r="A6" s="7" t="inlineStr">
        <is>
          <t>CUSTOMER_KEY</t>
        </is>
      </c>
      <c r="B6" s="7" t="inlineStr">
        <is>
          <t>NUMBER(10)</t>
        </is>
      </c>
      <c r="C6" s="8" t="n">
        <v>9940180</v>
      </c>
      <c r="D6" s="8" t="n">
        <v>19689</v>
      </c>
      <c r="E6" s="9" t="n">
        <v>0.001980748839558237</v>
      </c>
      <c r="F6" s="8" t="n">
        <v>1584</v>
      </c>
      <c r="G6" s="7" t="inlineStr"/>
      <c r="H6" s="7" t="inlineStr"/>
      <c r="I6" s="8" t="n">
        <v>0</v>
      </c>
      <c r="J6" s="10" t="inlineStr">
        <is>
          <t>only distributors reporting through the DMS upload appear here - 74% coverage, not the full 2,140</t>
        </is>
      </c>
    </row>
    <row r="7" ht="30" customHeight="1">
      <c r="A7" s="7" t="inlineStr">
        <is>
          <t>PRODUCT_KEY</t>
        </is>
      </c>
      <c r="B7" s="7" t="inlineStr">
        <is>
          <t>NUMBER(10)</t>
        </is>
      </c>
      <c r="C7" s="8" t="n">
        <v>9940180</v>
      </c>
      <c r="D7" s="8" t="n">
        <v>23448</v>
      </c>
      <c r="E7" s="9" t="n">
        <v>0.002358911005635713</v>
      </c>
      <c r="F7" s="8" t="n">
        <v>1246</v>
      </c>
      <c r="G7" s="7" t="inlineStr"/>
      <c r="H7" s="7" t="inlineStr"/>
      <c r="I7" s="8" t="n">
        <v>0</v>
      </c>
      <c r="J7" s="10" t="inlineStr"/>
    </row>
    <row r="8" ht="30" customHeight="1">
      <c r="A8" s="7" t="inlineStr">
        <is>
          <t>GEO_KEY</t>
        </is>
      </c>
      <c r="B8" s="7" t="inlineStr">
        <is>
          <t>NUMBER(6)</t>
        </is>
      </c>
      <c r="C8" s="8" t="n">
        <v>9940180</v>
      </c>
      <c r="D8" s="8" t="n">
        <v>122776</v>
      </c>
      <c r="E8" s="9" t="n">
        <v>0.01235148659279812</v>
      </c>
      <c r="F8" s="8" t="n">
        <v>22</v>
      </c>
      <c r="G8" s="7" t="inlineStr"/>
      <c r="H8" s="7" t="inlineStr"/>
      <c r="I8" s="8" t="n">
        <v>0</v>
      </c>
      <c r="J8" s="10" t="inlineStr"/>
    </row>
    <row r="9" ht="30" customHeight="1">
      <c r="A9" s="7" t="inlineStr">
        <is>
          <t>QTY_CS</t>
        </is>
      </c>
      <c r="B9" s="7" t="inlineStr">
        <is>
          <t>NUMBER(12,3)</t>
        </is>
      </c>
      <c r="C9" s="8" t="n">
        <v>9940180</v>
      </c>
      <c r="D9" s="8" t="n">
        <v>6456</v>
      </c>
      <c r="E9" s="9" t="n">
        <v>0.0006494852205895668</v>
      </c>
      <c r="F9" s="8" t="n">
        <v>5560562</v>
      </c>
      <c r="G9" s="7" t="n">
        <v>0.5</v>
      </c>
      <c r="H9" s="7" t="n">
        <v>980</v>
      </c>
      <c r="I9" s="8" t="n">
        <v>0</v>
      </c>
      <c r="J9" s="10" t="inlineStr"/>
    </row>
    <row r="10" ht="30" customHeight="1">
      <c r="A10" s="7" t="inlineStr">
        <is>
          <t>VALUE_AMT</t>
        </is>
      </c>
      <c r="B10" s="7" t="inlineStr">
        <is>
          <t>NUMBER(16,2)</t>
        </is>
      </c>
      <c r="C10" s="8" t="n">
        <v>9940180</v>
      </c>
      <c r="D10" s="8" t="n">
        <v>70307</v>
      </c>
      <c r="E10" s="9" t="n">
        <v>0.007073010750308344</v>
      </c>
      <c r="F10" s="8" t="n">
        <v>6264609</v>
      </c>
      <c r="G10" s="7" t="n">
        <v>8.5</v>
      </c>
      <c r="H10" s="7" t="n">
        <v>420000</v>
      </c>
      <c r="I10" s="8" t="n">
        <v>0</v>
      </c>
      <c r="J10" s="10" t="inlineStr"/>
    </row>
    <row r="11" ht="30" customHeight="1">
      <c r="A11" s="7" t="inlineStr">
        <is>
          <t>SRC_FILE_NM</t>
        </is>
      </c>
      <c r="B11" s="7" t="inlineStr">
        <is>
          <t>VARCHAR2(120)</t>
        </is>
      </c>
      <c r="C11" s="8" t="n">
        <v>9940180</v>
      </c>
      <c r="D11" s="8" t="n">
        <v>42826</v>
      </c>
      <c r="E11" s="9" t="n">
        <v>0.004308372685404087</v>
      </c>
      <c r="F11" s="8" t="n">
        <v>612</v>
      </c>
      <c r="G11" s="7" t="inlineStr"/>
      <c r="H11" s="7" t="inlineStr"/>
      <c r="I11" s="8" t="n">
        <v>0</v>
      </c>
      <c r="J11" s="10" t="inlineStr">
        <is>
          <t>one file per distributor per upload cycle, naming is inconsistent across regions, not standardised</t>
        </is>
      </c>
    </row>
    <row r="12" ht="30" customHeight="1">
      <c r="A12" s="7" t="inlineStr">
        <is>
          <t>LOAD_DT</t>
        </is>
      </c>
      <c r="B12" s="7" t="inlineStr">
        <is>
          <t>DATE</t>
        </is>
      </c>
      <c r="C12" s="8" t="n">
        <v>9940180</v>
      </c>
      <c r="D12" s="8" t="n">
        <v>19120</v>
      </c>
      <c r="E12" s="9" t="n">
        <v>0.001923506415376784</v>
      </c>
      <c r="F12" s="8" t="n">
        <v>9483008</v>
      </c>
      <c r="G12" s="7" t="inlineStr">
        <is>
          <t>03-Apr-2021</t>
        </is>
      </c>
      <c r="H12" s="7" t="inlineStr">
        <is>
          <t>31-May-2026</t>
        </is>
      </c>
      <c r="I12" s="8" t="n">
        <v>0</v>
      </c>
      <c r="J12" s="10" t="inlineStr">
        <is>
          <t>5 day average lag behind the reporting period on this feed</t>
        </is>
      </c>
    </row>
    <row r="13" ht="30" customHeight="1">
      <c r="A13" s="7" t="inlineStr">
        <is>
          <t>BATCH_ID</t>
        </is>
      </c>
      <c r="B13" s="7" t="inlineStr">
        <is>
          <t>NUMBER(10)</t>
        </is>
      </c>
      <c r="C13" s="8" t="n">
        <v>9940180</v>
      </c>
      <c r="D13" s="8" t="n">
        <v>66347</v>
      </c>
      <c r="E13" s="9" t="n">
        <v>0.006674627622437421</v>
      </c>
      <c r="F13" s="8" t="n">
        <v>1840</v>
      </c>
      <c r="G13" s="7" t="inlineStr"/>
      <c r="H13" s="7" t="inlineStr"/>
      <c r="I13" s="8" t="n">
        <v>0</v>
      </c>
      <c r="J13" s="10" t="inlineStr"/>
    </row>
  </sheetData>
  <autoFilter ref="A3:J13"/>
  <mergeCells count="2">
    <mergeCell ref="A1:J1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9" customWidth="1" min="5" max="5"/>
    <col width="12" customWidth="1" min="6" max="6"/>
    <col width="14" customWidth="1" min="7" max="7"/>
    <col width="14" customWidth="1" min="8" max="8"/>
    <col width="10" customWidth="1" min="9" max="9"/>
    <col width="48" customWidth="1" min="10" max="10"/>
  </cols>
  <sheetData>
    <row r="1" ht="20" customHeight="1">
      <c r="A1" s="5" t="inlineStr">
        <is>
          <t>BCPL_EDW.TAX_RATE_MASTER  -  profiling run 31-May-2026  -  214 rows</t>
        </is>
      </c>
    </row>
    <row r="2" ht="30" customHeight="1">
      <c r="A2" s="11" t="inlineStr">
        <is>
          <t>Superseded by DIM_TAX_RATE on 26-Aug-2026 under CHG0021339. table itself still exists, profiled here for completeness on the old structure - see variance tracker VAR-006, closed.</t>
        </is>
      </c>
    </row>
    <row r="3">
      <c r="A3" s="6" t="inlineStr">
        <is>
          <t>COLUMN_NAME</t>
        </is>
      </c>
      <c r="B3" s="6" t="inlineStr">
        <is>
          <t>DATA_TYPE</t>
        </is>
      </c>
      <c r="C3" s="6" t="inlineStr">
        <is>
          <t>ROW_COUNT</t>
        </is>
      </c>
      <c r="D3" s="6" t="inlineStr">
        <is>
          <t>NULL_COUNT</t>
        </is>
      </c>
      <c r="E3" s="6" t="inlineStr">
        <is>
          <t>NULL_PCT</t>
        </is>
      </c>
      <c r="F3" s="6" t="inlineStr">
        <is>
          <t>DISTINCT_COUNT</t>
        </is>
      </c>
      <c r="G3" s="6" t="inlineStr">
        <is>
          <t>MIN</t>
        </is>
      </c>
      <c r="H3" s="6" t="inlineStr">
        <is>
          <t>MAX</t>
        </is>
      </c>
      <c r="I3" s="6" t="inlineStr">
        <is>
          <t>PATTERN_FAIL_COUNT</t>
        </is>
      </c>
      <c r="J3" s="6" t="inlineStr">
        <is>
          <t>NOTES</t>
        </is>
      </c>
    </row>
    <row r="4" ht="30" customHeight="1">
      <c r="A4" s="7" t="inlineStr">
        <is>
          <t>HSN_CODE</t>
        </is>
      </c>
      <c r="B4" s="7" t="inlineStr">
        <is>
          <t>VARCHAR2(10)</t>
        </is>
      </c>
      <c r="C4" s="8" t="n">
        <v>214</v>
      </c>
      <c r="D4" s="8" t="n">
        <v>0</v>
      </c>
      <c r="E4" s="9" t="n">
        <v>0</v>
      </c>
      <c r="F4" s="8" t="n">
        <v>214</v>
      </c>
      <c r="G4" s="7" t="inlineStr">
        <is>
          <t>1006</t>
        </is>
      </c>
      <c r="H4" s="7" t="inlineStr">
        <is>
          <t>9506</t>
        </is>
      </c>
      <c r="I4" s="8" t="n">
        <v>0</v>
      </c>
      <c r="J4" s="10" t="inlineStr"/>
    </row>
    <row r="5" ht="30" customHeight="1">
      <c r="A5" s="7" t="inlineStr">
        <is>
          <t>GST_RATE_PCT</t>
        </is>
      </c>
      <c r="B5" s="7" t="inlineStr">
        <is>
          <t>NUMBER(5,2)</t>
        </is>
      </c>
      <c r="C5" s="8" t="n">
        <v>214</v>
      </c>
      <c r="D5" s="8" t="n">
        <v>0</v>
      </c>
      <c r="E5" s="9" t="n">
        <v>0</v>
      </c>
      <c r="F5" s="8" t="n">
        <v>7</v>
      </c>
      <c r="G5" s="7" t="n">
        <v>0</v>
      </c>
      <c r="H5" s="7" t="n">
        <v>28</v>
      </c>
      <c r="I5" s="8" t="n">
        <v>0</v>
      </c>
      <c r="J5" s="10" t="inlineStr">
        <is>
          <t>DQ-R-15 (validity, GST rate matches the rate effective on the invoice date): 96.3% actual vs 99.9% threshold, fail on this run - no effective dating on this table is the reason, closed by DIM_TAX_RATE</t>
        </is>
      </c>
    </row>
    <row r="6" ht="30" customHeight="1">
      <c r="A6" s="7" t="inlineStr">
        <is>
          <t>LOAD_DT</t>
        </is>
      </c>
      <c r="B6" s="7" t="inlineStr">
        <is>
          <t>DATE</t>
        </is>
      </c>
      <c r="C6" s="8" t="n">
        <v>214</v>
      </c>
      <c r="D6" s="8" t="n">
        <v>0</v>
      </c>
      <c r="E6" s="9" t="n">
        <v>0</v>
      </c>
      <c r="F6" s="8" t="n">
        <v>142</v>
      </c>
      <c r="G6" s="7" t="inlineStr">
        <is>
          <t>31-May-2026</t>
        </is>
      </c>
      <c r="H6" s="7" t="inlineStr">
        <is>
          <t>31-May-2026</t>
        </is>
      </c>
      <c r="I6" s="8" t="n">
        <v>0</v>
      </c>
      <c r="J6" s="10" t="inlineStr">
        <is>
          <t>truncate and reload snapshot, single LOAD_DT for the whole table on any given day</t>
        </is>
      </c>
    </row>
  </sheetData>
  <autoFilter ref="A3:J6"/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9" customWidth="1" min="5" max="5"/>
    <col width="12" customWidth="1" min="6" max="6"/>
    <col width="14" customWidth="1" min="7" max="7"/>
    <col width="14" customWidth="1" min="8" max="8"/>
    <col width="10" customWidth="1" min="9" max="9"/>
    <col width="48" customWidth="1" min="10" max="10"/>
  </cols>
  <sheetData>
    <row r="1">
      <c r="A1" s="16" t="inlineStr">
        <is>
          <t>BCPL_EDW.DIM_PRODUCT  -  profiling NOT FINISHED, picking this back up</t>
        </is>
      </c>
    </row>
    <row r="2">
      <c r="A2" s="17" t="inlineStr">
        <is>
          <t>WIP - got pulled onto the VAR-004 digging before finishing this one, will complete before next steerco pack. sorry all. -NG</t>
        </is>
      </c>
    </row>
    <row r="3">
      <c r="A3" s="6" t="inlineStr">
        <is>
          <t>COLUMN_NAME</t>
        </is>
      </c>
      <c r="B3" s="6" t="inlineStr">
        <is>
          <t>DATA_TYPE</t>
        </is>
      </c>
      <c r="C3" s="6" t="inlineStr">
        <is>
          <t>ROW_COUNT</t>
        </is>
      </c>
      <c r="D3" s="6" t="inlineStr">
        <is>
          <t>NULL_COUNT</t>
        </is>
      </c>
      <c r="E3" s="6" t="inlineStr">
        <is>
          <t>NULL_PCT</t>
        </is>
      </c>
      <c r="F3" s="6" t="inlineStr">
        <is>
          <t>DISTINCT_COUNT</t>
        </is>
      </c>
      <c r="G3" s="6" t="inlineStr">
        <is>
          <t>MIN</t>
        </is>
      </c>
      <c r="H3" s="6" t="inlineStr">
        <is>
          <t>MAX</t>
        </is>
      </c>
      <c r="I3" s="6" t="inlineStr">
        <is>
          <t>PATTERN_FAIL_COUNT</t>
        </is>
      </c>
      <c r="J3" s="6" t="inlineStr">
        <is>
          <t>NOTES</t>
        </is>
      </c>
    </row>
    <row r="4">
      <c r="A4" s="7" t="inlineStr">
        <is>
          <t>PRODUCT_KEY</t>
        </is>
      </c>
      <c r="B4" s="7" t="inlineStr">
        <is>
          <t>NUMBER(10)</t>
        </is>
      </c>
      <c r="C4" s="7" t="n">
        <v>1246</v>
      </c>
      <c r="D4" s="7" t="n">
        <v>0</v>
      </c>
      <c r="E4" s="7" t="inlineStr"/>
      <c r="F4" s="7" t="n">
        <v>1246</v>
      </c>
      <c r="G4" s="7" t="n">
        <v>1</v>
      </c>
      <c r="H4" s="7" t="n">
        <v>1246</v>
      </c>
      <c r="I4" s="7" t="n">
        <v>0</v>
      </c>
      <c r="J4" s="10" t="inlineStr">
        <is>
          <t>PK, -1 is UNKNOWN member. done.</t>
        </is>
      </c>
    </row>
    <row r="5">
      <c r="A5" s="7" t="inlineStr">
        <is>
          <t>SKU_CODE</t>
        </is>
      </c>
      <c r="B5" s="7" t="inlineStr">
        <is>
          <t>VARCHAR2(30)</t>
        </is>
      </c>
      <c r="C5" s="7" t="n">
        <v>1246</v>
      </c>
      <c r="D5" s="7" t="n">
        <v>0</v>
      </c>
      <c r="E5" s="7" t="inlineStr"/>
      <c r="F5" s="7" t="n">
        <v>1246</v>
      </c>
      <c r="G5" s="7" t="inlineStr">
        <is>
          <t>SUV-1001</t>
        </is>
      </c>
      <c r="H5" s="7" t="inlineStr">
        <is>
          <t>RKS-0862</t>
        </is>
      </c>
      <c r="I5" s="7" t="n">
        <v>0</v>
      </c>
      <c r="J5" s="10" t="inlineStr">
        <is>
          <t>matches SKU_MASTER tab, done.</t>
        </is>
      </c>
    </row>
    <row r="6">
      <c r="A6" s="7" t="inlineStr">
        <is>
          <t>MRP_AMT</t>
        </is>
      </c>
      <c r="B6" s="7" t="inlineStr">
        <is>
          <t>NUMBER(12,2)</t>
        </is>
      </c>
      <c r="C6" s="7" t="n">
        <v>1246</v>
      </c>
      <c r="D6" s="7" t="inlineStr">
        <is>
          <t>TBC</t>
        </is>
      </c>
      <c r="E6" s="7" t="inlineStr"/>
      <c r="F6" s="7" t="inlineStr">
        <is>
          <t>TBC</t>
        </is>
      </c>
      <c r="G6" s="7" t="n">
        <v>8.5</v>
      </c>
      <c r="H6" s="7" t="n">
        <v>42500</v>
      </c>
      <c r="I6" s="7" t="inlineStr">
        <is>
          <t>TBC</t>
        </is>
      </c>
      <c r="J6" s="10" t="inlineStr">
        <is>
          <t>started, need to re-check against SCD2 history, ran out of time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Neha Gokhale</dc:creator>
  <dc:title xmlns:dc="http://purl.org/dc/elements/1.1/">XL-02 DQ Profiling Results</dc:title>
  <dc:description xmlns:dc="http://purl.org/dc/elements/1.1/">SYNTHETIC — generated for internal demo. No real entity depicted.</dc:description>
  <dc:subject xmlns:dc="http://purl.org/dc/elements/1.1/">Project Drishti data quality profiling</dc:subject>
  <dcterms:created xmlns:dcterms="http://purl.org/dc/terms/" xmlns:xsi="http://www.w3.org/2001/XMLSchema-instance" xsi:type="dcterms:W3CDTF">2026-08-22T23:33:37Z</dcterms:created>
  <dcterms:modified xmlns:dcterms="http://purl.org/dc/terms/" xmlns:xsi="http://www.w3.org/2001/XMLSchema-instance" xsi:type="dcterms:W3CDTF">2026-08-22T23:33:37Z</dcterms:modified>
  <cp:keywords>data quality, profiling, project drishti</cp:keywords>
</cp:coreProperties>
</file>