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_SCD1" sheetId="2" state="visible" r:id="rId2"/>
    <sheet xmlns:r="http://schemas.openxmlformats.org/officeDocument/2006/relationships" name="Scenario_SCD2" sheetId="3" state="visible" r:id="rId3"/>
    <sheet xmlns:r="http://schemas.openxmlformats.org/officeDocument/2006/relationships" name="Conclusion" sheetId="4" state="visible" r:id="rId4"/>
  </sheets>
  <definedNames>
    <definedName name="_xlnm._FilterDatabase" localSheetId="0" hidden="1">'Assumptions'!$A$6:$C$33</definedName>
    <definedName name="_xlnm._FilterDatabase" localSheetId="1" hidden="1">'Scenario_SCD1'!$A$4:$F$7</definedName>
    <definedName name="_xlnm._FilterDatabase" localSheetId="2" hidden="1">'Scenario_SCD2'!$A$4:$F$7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HH:MM"/>
    <numFmt numFmtId="166" formatCode="0&quot; min&quot;"/>
    <numFmt numFmtId="167" formatCode="0.00&quot; min&quot;"/>
    <numFmt numFmtId="168" formatCode="0.0%"/>
    <numFmt numFmtId="169" formatCode="HH:MM:SS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  <font>
      <name val="Calibri"/>
      <color rgb="00006100"/>
      <sz val="10"/>
    </font>
    <font>
      <name val="Calibri"/>
      <b val="1"/>
      <sz val="10"/>
    </font>
    <font>
      <name val="Calibri"/>
      <i val="1"/>
      <color rgb="00A6A6A6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center" wrapText="1"/>
    </xf>
    <xf numFmtId="164" fontId="5" fillId="0" borderId="1" pivotButton="0" quotePrefix="0" xfId="0"/>
    <xf numFmtId="0" fontId="6" fillId="3" borderId="0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7" fillId="0" borderId="1" pivotButton="0" quotePrefix="0" xfId="0"/>
    <xf numFmtId="168" fontId="5" fillId="0" borderId="1" pivotButton="0" quotePrefix="0" xfId="0"/>
    <xf numFmtId="0" fontId="5" fillId="0" borderId="0" pivotButton="0" quotePrefix="0" xfId="0"/>
    <xf numFmtId="167" fontId="0" fillId="0" borderId="0" pivotButton="0" quotePrefix="0" xfId="0"/>
    <xf numFmtId="165" fontId="5" fillId="4" borderId="1" pivotButton="0" quotePrefix="0" xfId="0"/>
    <xf numFmtId="169" fontId="3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1" fontId="0" fillId="0" borderId="0" pivotButton="0" quotePrefix="0" xfId="0"/>
    <xf numFmtId="1" fontId="8" fillId="0" borderId="0" pivotButton="0" quotePrefix="0" xfId="0"/>
    <xf numFmtId="165" fontId="0" fillId="0" borderId="0" pivotButton="0" quotePrefix="0" xfId="0"/>
    <xf numFmtId="166" fontId="8" fillId="5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Karthik Subramanian</author>
  </authors>
  <commentList>
    <comment ref="E7" authorId="0" shapeId="0">
      <text>
        <t>Typed value, not a formula. The raw arithmetic (load start + elapsed) lands on 04:19:28. Rounding up to 04:20 to stay conservative and to match the figure already circulated in the covering note. If the assumptions above change, re-check this cell by hand, it will not recalculate on its own. - 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1" t="inlineStr">
        <is>
          <t>SCD2 Load Impact - Assumptions</t>
        </is>
      </c>
    </row>
    <row r="2">
      <c r="A2" s="2" t="inlineStr">
        <is>
          <t>DIM_CUSTOMER conversion to SCD2 - load window capacity model</t>
        </is>
      </c>
    </row>
    <row r="3">
      <c r="A3" s="3" t="inlineStr">
        <is>
          <t>Prepared by: Karthik Subramanian | Northlane Analytics</t>
        </is>
      </c>
    </row>
    <row r="4">
      <c r="A4" s="3" t="inlineStr">
        <is>
          <t>Measurement run: 21-Apr-2026 (DEV) | note drafted 22-Apr-2026 | circulated 23-Apr-2026</t>
        </is>
      </c>
    </row>
    <row r="6">
      <c r="A6" s="4" t="inlineStr">
        <is>
          <t>Item</t>
        </is>
      </c>
      <c r="B6" s="4" t="inlineStr">
        <is>
          <t>Value</t>
        </is>
      </c>
      <c r="C6" s="4" t="inlineStr">
        <is>
          <t>Unit / note</t>
        </is>
      </c>
    </row>
    <row r="7">
      <c r="A7" s="5" t="inlineStr">
        <is>
          <t>DIM_CUSTOMER rows, current</t>
        </is>
      </c>
      <c r="B7" s="5" t="n">
        <v>2140</v>
      </c>
      <c r="C7" s="6" t="inlineStr">
        <is>
          <t>rows</t>
        </is>
      </c>
    </row>
    <row r="8">
      <c r="A8" s="5" t="inlineStr">
        <is>
          <t>DIM_CUSTOMER rows, projected Mar-2027 (with SCD2)</t>
        </is>
      </c>
      <c r="B8" s="5" t="n">
        <v>6900</v>
      </c>
      <c r="C8" s="6" t="inlineStr">
        <is>
          <t>rows, approx</t>
        </is>
      </c>
    </row>
    <row r="9">
      <c r="A9" s="5" t="inlineStr">
        <is>
          <t>SCD2 expansion factor</t>
        </is>
      </c>
      <c r="B9" s="7">
        <f>B8/B7</f>
        <v/>
      </c>
      <c r="C9" s="6" t="inlineStr">
        <is>
          <t>x (projected / current)</t>
        </is>
      </c>
    </row>
    <row r="10">
      <c r="A10" s="5" t="inlineStr">
        <is>
          <t>Average changed customer rows per night</t>
        </is>
      </c>
      <c r="B10" s="5" t="n">
        <v>23</v>
      </c>
      <c r="C10" s="6" t="inlineStr">
        <is>
          <t>rows/night</t>
        </is>
      </c>
    </row>
    <row r="11">
      <c r="A11" s="5" t="inlineStr">
        <is>
          <t>Peak changed rows, territory realignment day</t>
        </is>
      </c>
      <c r="B11" s="5" t="n">
        <v>310</v>
      </c>
      <c r="C11" s="6" t="inlineStr">
        <is>
          <t>rows [confirm current count with Ani]</t>
        </is>
      </c>
    </row>
    <row r="12">
      <c r="A12" s="5" t="inlineStr">
        <is>
          <t>Peak realignment days per year</t>
        </is>
      </c>
      <c r="B12" s="5" t="n">
        <v>4</v>
      </c>
      <c r="C12" s="6" t="inlineStr">
        <is>
          <t>days/yr</t>
        </is>
      </c>
    </row>
    <row r="13">
      <c r="A13" s="5" t="inlineStr">
        <is>
          <t>Extra storage per year (SCD2 history)</t>
        </is>
      </c>
      <c r="B13" s="5" t="n">
        <v>38</v>
      </c>
      <c r="C13" s="6" t="inlineStr">
        <is>
          <t>MB</t>
        </is>
      </c>
    </row>
    <row r="14">
      <c r="A14" s="5" t="inlineStr">
        <is>
          <t>Sample window used for model</t>
        </is>
      </c>
      <c r="B14" s="5" t="inlineStr">
        <is>
          <t>01-Feb-2026 to 17-Apr-2026</t>
        </is>
      </c>
      <c r="C14" s="6" t="inlineStr">
        <is>
          <t>76 nights</t>
        </is>
      </c>
    </row>
    <row r="16">
      <c r="A16" s="8" t="inlineStr">
        <is>
          <t>Load Window</t>
        </is>
      </c>
    </row>
    <row r="17">
      <c r="A17" s="5" t="inlineStr">
        <is>
          <t>Nightly load start (Control-M job BCPL_EDW_DAILY_LOAD_START)</t>
        </is>
      </c>
      <c r="B17" s="9" t="n">
        <v>0.04166666666666666</v>
      </c>
      <c r="C17" s="6" t="inlineStr">
        <is>
          <t>IST, every day incl. Sundays</t>
        </is>
      </c>
    </row>
    <row r="18">
      <c r="A18" s="5" t="inlineStr">
        <is>
          <t>Business availability SLA</t>
        </is>
      </c>
      <c r="B18" s="9" t="n">
        <v>0.2291666666666667</v>
      </c>
      <c r="C18" s="6" t="inlineStr">
        <is>
          <t>IST</t>
        </is>
      </c>
    </row>
    <row r="19">
      <c r="A19" s="5" t="inlineStr">
        <is>
          <t>Total available window</t>
        </is>
      </c>
      <c r="B19" s="10">
        <f>(B18-B17)*1440</f>
        <v/>
      </c>
      <c r="C19" s="6" t="inlineStr">
        <is>
          <t>min</t>
        </is>
      </c>
    </row>
    <row r="20">
      <c r="A20" s="5" t="inlineStr">
        <is>
          <t>LP_DAILY_SALES average elapsed</t>
        </is>
      </c>
      <c r="B20" s="5" t="n">
        <v>58</v>
      </c>
      <c r="C20" s="6" t="inlineStr">
        <is>
          <t>min</t>
        </is>
      </c>
    </row>
    <row r="21">
      <c r="A21" s="5" t="inlineStr">
        <is>
          <t>LP_DAILY_SALES P95 elapsed</t>
        </is>
      </c>
      <c r="B21" s="5" t="n">
        <v>71</v>
      </c>
      <c r="C21" s="6" t="inlineStr">
        <is>
          <t>min</t>
        </is>
      </c>
    </row>
    <row r="22">
      <c r="A22" s="5" t="inlineStr">
        <is>
          <t>Worst month-end night in sample, elapsed</t>
        </is>
      </c>
      <c r="B22" s="5" t="n">
        <v>192</v>
      </c>
      <c r="C22" s="6" t="inlineStr">
        <is>
          <t>min (3h 12m)</t>
        </is>
      </c>
    </row>
    <row r="24">
      <c r="A24" s="8" t="inlineStr">
        <is>
          <t>MAP_DIM_CUSTOMER Runtime</t>
        </is>
      </c>
    </row>
    <row r="25">
      <c r="A25" s="5" t="inlineStr">
        <is>
          <t>Current runtime (production, stable across last 30 runs)</t>
        </is>
      </c>
      <c r="B25" s="11">
        <f>252/60</f>
        <v/>
      </c>
      <c r="C25" s="6" t="inlineStr">
        <is>
          <t>4 min 12 sec</t>
        </is>
      </c>
    </row>
    <row r="26">
      <c r="A26" s="5" t="inlineStr">
        <is>
          <t>Measured runtime with SCD2 (DEV, 21-Apr-2026)</t>
        </is>
      </c>
      <c r="B26" s="11">
        <f>700/60</f>
        <v/>
      </c>
      <c r="C26" s="6" t="inlineStr">
        <is>
          <t>11 min 40 sec</t>
        </is>
      </c>
    </row>
    <row r="27">
      <c r="A27" s="5" t="inlineStr">
        <is>
          <t>Measured delta</t>
        </is>
      </c>
      <c r="B27" s="11">
        <f>B26-B25</f>
        <v/>
      </c>
      <c r="C27" s="6" t="inlineStr">
        <is>
          <t>+7 min 28 sec, measured not estimated</t>
        </is>
      </c>
    </row>
    <row r="28">
      <c r="A28" s="5" t="inlineStr">
        <is>
          <t>Validation check: delta in seconds = 448?</t>
        </is>
      </c>
      <c r="B28" s="12">
        <f>ROUND(B27*60,0)=448</f>
        <v/>
      </c>
      <c r="C28" s="6" t="inlineStr">
        <is>
          <t>TRUE expected</t>
        </is>
      </c>
    </row>
    <row r="30">
      <c r="A30" s="8" t="inlineStr">
        <is>
          <t>DEV Staleness Caveat</t>
        </is>
      </c>
    </row>
    <row r="31">
      <c r="A31" s="5" t="inlineStr">
        <is>
          <t>DEV last refresh</t>
        </is>
      </c>
      <c r="B31" s="5" t="inlineStr">
        <is>
          <t>11/03/2026</t>
        </is>
      </c>
      <c r="C31" s="6" t="inlineStr">
        <is>
          <t>stale for the rest of the engagement</t>
        </is>
      </c>
    </row>
    <row r="32">
      <c r="A32" s="5" t="inlineStr">
        <is>
          <t>Days between DEV refresh and this measurement</t>
        </is>
      </c>
      <c r="B32" s="5">
        <f>DATE(2026,4,21)-DATE(2026,3,11)</f>
        <v/>
      </c>
      <c r="C32" s="6" t="inlineStr">
        <is>
          <t>days</t>
        </is>
      </c>
    </row>
    <row r="33">
      <c r="A33" s="5" t="inlineStr">
        <is>
          <t>DEV-to-PROD annual-volume buffer</t>
        </is>
      </c>
      <c r="B33" s="5" t="n">
        <v>1.1</v>
      </c>
      <c r="C33" s="6" t="inlineStr">
        <is>
          <t>applied only to the row-count projection on the Scenario_SCD2 sheet, basically a margin for stale DEV volumes, not applied to the runtime delta above as such</t>
        </is>
      </c>
    </row>
  </sheetData>
  <autoFilter ref="A6:C33"/>
  <mergeCells count="7">
    <mergeCell ref="A1:C1"/>
    <mergeCell ref="A16:C16"/>
    <mergeCell ref="A3:C3"/>
    <mergeCell ref="A30:C30"/>
    <mergeCell ref="A4:C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Scenario 1 - current behaviour (no SCD2 on DIM_CUSTOMER)</t>
        </is>
      </c>
    </row>
    <row r="2">
      <c r="A2" s="2" t="inlineStr">
        <is>
          <t>Baseline: today's production runtimes, for the three night-types modelled against the actual sample rather than the average.</t>
        </is>
      </c>
    </row>
    <row r="4">
      <c r="A4" s="4" t="inlineStr">
        <is>
          <t>Night type</t>
        </is>
      </c>
      <c r="B4" s="4" t="inlineStr">
        <is>
          <t>MAP_DIM_CUSTOMER runtime (min)</t>
        </is>
      </c>
      <c r="C4" s="4" t="inlineStr">
        <is>
          <t>LP_DAILY_SALES elapsed (min)</t>
        </is>
      </c>
      <c r="D4" s="4" t="inlineStr">
        <is>
          <t>Load start (IST)</t>
        </is>
      </c>
      <c r="E4" s="4" t="inlineStr">
        <is>
          <t>Finish time (IST)</t>
        </is>
      </c>
      <c r="F4" s="4" t="inlineStr">
        <is>
          <t>Window utilisation %</t>
        </is>
      </c>
    </row>
    <row r="5">
      <c r="A5" s="5" t="inlineStr">
        <is>
          <t>Ordinary night (average)</t>
        </is>
      </c>
      <c r="B5" s="11">
        <f>Assumptions!B25</f>
        <v/>
      </c>
      <c r="C5" s="10">
        <f>Assumptions!B20</f>
        <v/>
      </c>
      <c r="D5" s="9">
        <f>Assumptions!B17</f>
        <v/>
      </c>
      <c r="E5" s="9">
        <f>D5+(C5/1440)</f>
        <v/>
      </c>
      <c r="F5" s="13">
        <f>C5/Assumptions!B19</f>
        <v/>
      </c>
    </row>
    <row r="6">
      <c r="A6" s="5" t="inlineStr">
        <is>
          <t>P95 (busy) night</t>
        </is>
      </c>
      <c r="B6" s="11">
        <f>Assumptions!B25</f>
        <v/>
      </c>
      <c r="C6" s="10">
        <f>Assumptions!B21</f>
        <v/>
      </c>
      <c r="D6" s="9">
        <f>Assumptions!B17</f>
        <v/>
      </c>
      <c r="E6" s="9">
        <f>D6+(C6/1440)</f>
        <v/>
      </c>
      <c r="F6" s="13">
        <f>C6/Assumptions!B19</f>
        <v/>
      </c>
    </row>
    <row r="7">
      <c r="A7" s="5" t="inlineStr">
        <is>
          <t>Worst month-end night (sample)</t>
        </is>
      </c>
      <c r="B7" s="11">
        <f>Assumptions!B25</f>
        <v/>
      </c>
      <c r="C7" s="10">
        <f>Assumptions!B22</f>
        <v/>
      </c>
      <c r="D7" s="9">
        <f>Assumptions!B17</f>
        <v/>
      </c>
      <c r="E7" s="9">
        <f>D7+(C7/1440)</f>
        <v/>
      </c>
      <c r="F7" s="13">
        <f>C7/Assumptions!B19</f>
        <v/>
      </c>
    </row>
    <row r="9">
      <c r="A9" s="14" t="inlineStr">
        <is>
          <t>Average LP_DAILY_SALES elapsed across the three (min)</t>
        </is>
      </c>
      <c r="C9" s="15">
        <f>AVERAGE(C5:C7)</f>
        <v/>
      </c>
    </row>
    <row r="10">
      <c r="A10" s="14" t="inlineStr">
        <is>
          <t>Of these three, night-types where utilisation exceeds 70%</t>
        </is>
      </c>
      <c r="C10">
        <f>COUNTIF(F5:F7,"&gt;0.70")</f>
        <v/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Scenario 2 - DIM_CUSTOMER converted to SCD2 (proposed)</t>
        </is>
      </c>
    </row>
    <row r="2">
      <c r="A2" s="2" t="inlineStr">
        <is>
          <t>Same three night-types, with the measured SCD2 delta added flat across each. See Assumptions for the delta.</t>
        </is>
      </c>
    </row>
    <row r="4">
      <c r="A4" s="4" t="inlineStr">
        <is>
          <t>Night type</t>
        </is>
      </c>
      <c r="B4" s="4" t="inlineStr">
        <is>
          <t>MAP_DIM_CUSTOMER runtime (min)</t>
        </is>
      </c>
      <c r="C4" s="4" t="inlineStr">
        <is>
          <t>LP_DAILY_SALES elapsed (min)</t>
        </is>
      </c>
      <c r="D4" s="4" t="inlineStr">
        <is>
          <t>Load start (IST)</t>
        </is>
      </c>
      <c r="E4" s="4" t="inlineStr">
        <is>
          <t>Finish time (IST)</t>
        </is>
      </c>
      <c r="F4" s="4" t="inlineStr">
        <is>
          <t>Window utilisation %</t>
        </is>
      </c>
    </row>
    <row r="5">
      <c r="A5" s="5" t="inlineStr">
        <is>
          <t>Ordinary night (average)</t>
        </is>
      </c>
      <c r="B5" s="11">
        <f>Assumptions!B26</f>
        <v/>
      </c>
      <c r="C5" s="10">
        <f>Scenario_SCD1!C5+Assumptions!B27</f>
        <v/>
      </c>
      <c r="D5" s="9">
        <f>Scenario_SCD1!D5</f>
        <v/>
      </c>
      <c r="E5" s="9">
        <f>D5+(C5/1440)</f>
        <v/>
      </c>
      <c r="F5" s="13">
        <f>C5/Assumptions!B19</f>
        <v/>
      </c>
    </row>
    <row r="6">
      <c r="A6" s="5" t="inlineStr">
        <is>
          <t>P95 (busy) night</t>
        </is>
      </c>
      <c r="B6" s="11">
        <f>Assumptions!B26</f>
        <v/>
      </c>
      <c r="C6" s="10">
        <f>Scenario_SCD1!C6+Assumptions!B27</f>
        <v/>
      </c>
      <c r="D6" s="9">
        <f>Scenario_SCD1!D6</f>
        <v/>
      </c>
      <c r="E6" s="9">
        <f>D6+(C6/1440)</f>
        <v/>
      </c>
      <c r="F6" s="13">
        <f>C6/Assumptions!B19</f>
        <v/>
      </c>
    </row>
    <row r="7">
      <c r="A7" s="5" t="inlineStr">
        <is>
          <t>Worst month-end night (sample)</t>
        </is>
      </c>
      <c r="B7" s="11">
        <f>Assumptions!B26</f>
        <v/>
      </c>
      <c r="C7" s="10">
        <f>Scenario_SCD1!C7+Assumptions!B27</f>
        <v/>
      </c>
      <c r="D7" s="9">
        <f>Scenario_SCD1!D7</f>
        <v/>
      </c>
      <c r="E7" s="16" t="n">
        <v>0.1805555555555556</v>
      </c>
      <c r="F7" s="13">
        <f>C7/Assumptions!B19</f>
        <v/>
      </c>
    </row>
    <row r="9">
      <c r="A9" s="3" t="inlineStr">
        <is>
          <t>Raw (unrounded) finish time check, worst case</t>
        </is>
      </c>
      <c r="C9" s="17">
        <f>D7+(C7/1440)</f>
        <v/>
      </c>
    </row>
    <row r="10">
      <c r="A10" s="18" t="inlineStr">
        <is>
          <t>Headroom to SLA at worst case (min)</t>
        </is>
      </c>
      <c r="C10" s="19">
        <f>(Assumptions!B18-E7)*1440</f>
        <v/>
      </c>
    </row>
    <row r="11">
      <c r="A11" s="14" t="inlineStr">
        <is>
          <t>Of these three, night-types where utilisation exceeds 70%</t>
        </is>
      </c>
      <c r="C11">
        <f>COUNTIF(F5:F7,"&gt;0.70")</f>
        <v/>
      </c>
    </row>
    <row r="13">
      <c r="A13" s="8" t="inlineStr">
        <is>
          <t>Estimated Additional SCD2 Version Rows Written Per Year</t>
        </is>
      </c>
    </row>
    <row r="14">
      <c r="A14" s="14" t="inlineStr">
        <is>
          <t>Regular nights per year</t>
        </is>
      </c>
      <c r="C14">
        <f>365-Assumptions!B12</f>
        <v/>
      </c>
    </row>
    <row r="15">
      <c r="A15" s="14" t="inlineStr">
        <is>
          <t>Regular component (rows/year)</t>
        </is>
      </c>
      <c r="C15" s="20">
        <f>Assumptions!B10*C14*Assumptions!B33</f>
        <v/>
      </c>
    </row>
    <row r="16">
      <c r="A16" s="14" t="inlineStr">
        <is>
          <t>Peak component (rows/year)</t>
        </is>
      </c>
      <c r="C16" s="20">
        <f>Assumptions!B11*Assumptions!B12*Assumptions!B33</f>
        <v/>
      </c>
    </row>
    <row r="17">
      <c r="A17" s="18" t="inlineStr">
        <is>
          <t>Total estimated additional rows/year (buffered)</t>
        </is>
      </c>
      <c r="C17" s="21">
        <f>SUM(C15:C16)</f>
        <v/>
      </c>
    </row>
    <row r="19">
      <c r="A19" s="3" t="inlineStr">
        <is>
          <t>Buffer applied to the row-count projection only, for DEV being stale relative to current production volumes. The runtime delta above is not itself scaled.</t>
        </is>
      </c>
    </row>
  </sheetData>
  <autoFilter ref="A4:F7"/>
  <mergeCells count="4">
    <mergeCell ref="A13:F13"/>
    <mergeCell ref="A2:F2"/>
    <mergeCell ref="A19:F19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>
      <c r="A1" s="1" t="inlineStr">
        <is>
          <t>Conclusion</t>
        </is>
      </c>
    </row>
    <row r="3">
      <c r="A3" s="8" t="inlineStr">
        <is>
          <t>Headline Numbers</t>
        </is>
      </c>
    </row>
    <row r="4">
      <c r="A4" s="14" t="inlineStr">
        <is>
          <t>Measured delta (min)</t>
        </is>
      </c>
      <c r="B4" s="15">
        <f>Assumptions!B27</f>
        <v/>
      </c>
    </row>
    <row r="5">
      <c r="A5" s="14" t="inlineStr">
        <is>
          <t>Ordinary night finish, with SCD2</t>
        </is>
      </c>
      <c r="B5" s="22">
        <f>Scenario_SCD2!E5</f>
        <v/>
      </c>
    </row>
    <row r="6">
      <c r="A6" s="14" t="inlineStr">
        <is>
          <t>Worst month-end finish, with SCD2 (adopted)</t>
        </is>
      </c>
      <c r="B6" s="22">
        <f>Scenario_SCD2!E7</f>
        <v/>
      </c>
    </row>
    <row r="7">
      <c r="A7" s="18" t="inlineStr">
        <is>
          <t>Headroom to SLA at worst case (min)</t>
        </is>
      </c>
      <c r="B7" s="23">
        <f>(Assumptions!B18-Scenario_SCD2!E7)*1440</f>
        <v/>
      </c>
    </row>
    <row r="9">
      <c r="A9" s="8" t="inlineStr">
        <is>
          <t>Conclusion</t>
        </is>
      </c>
    </row>
    <row r="10" ht="70" customHeight="1">
      <c r="A10" s="24" t="inlineStr">
        <is>
          <t>The load window cost of SCD2 on DIM_CUSTOMER is acceptable. On an ordinary night the delta disappears into the noise and the run still closes around 02:05. On the worst month-end night in the sample the run moves to finishing 04:20 IST against a 05:30 availability SLA, which leaves 70 minutes of head room.</t>
        </is>
      </c>
    </row>
    <row r="11"/>
    <row r="12"/>
    <row r="13"/>
    <row r="15">
      <c r="A15" s="8" t="inlineStr">
        <is>
          <t>Caveats</t>
        </is>
      </c>
    </row>
    <row r="16">
      <c r="A16" s="14" t="inlineStr">
        <is>
          <t>1. Measured on DEV. DEV was last refreshed 11-Mar-2026 and is stale for the rest of the engagement, so the volumes behind this run are not today's volumes.</t>
        </is>
      </c>
    </row>
    <row r="17">
      <c r="A17" s="14" t="inlineStr">
        <is>
          <t>2. Elapsed time only. Contention with anything else running on the host at that hour is not modelled, that needs a night on UAT and there is not one yet.</t>
        </is>
      </c>
    </row>
    <row r="18">
      <c r="A18" s="14" t="inlineStr">
        <is>
          <t>3. Pending.</t>
        </is>
      </c>
    </row>
    <row r="20">
      <c r="A20" s="8" t="inlineStr">
        <is>
          <t>Sign-off</t>
        </is>
      </c>
    </row>
    <row r="21">
      <c r="A21" s="3" t="inlineStr">
        <is>
          <t>Karthik Subramanian | Data Architect | Northlane Analytics | 23-Apr-2026</t>
        </is>
      </c>
    </row>
    <row r="23">
      <c r="A23" s="25" t="inlineStr">
        <is>
          <t>SYNTHETIC — generated for internal demo. No real entity depicted.</t>
        </is>
      </c>
    </row>
  </sheetData>
  <mergeCells count="10">
    <mergeCell ref="A1:C1"/>
    <mergeCell ref="A10:C13"/>
    <mergeCell ref="A17:C17"/>
    <mergeCell ref="A9:C9"/>
    <mergeCell ref="A18:C18"/>
    <mergeCell ref="A3:C3"/>
    <mergeCell ref="A21:C21"/>
    <mergeCell ref="A15:C15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Karthik Subramanian</dc:creator>
  <dc:title xmlns:dc="http://purl.org/dc/elements/1.1/">SCD2 Load Impact - DIM_CUSTOMER</dc:title>
  <dc:description xmlns:dc="http://purl.org/dc/elements/1.1/">SYNTHETIC — generated for internal demo. No real entity depicted.</dc:description>
  <dc:subject xmlns:dc="http://purl.org/dc/elements/1.1/">Project Drishti - load window capacity model</dc:subject>
  <dcterms:created xmlns:dcterms="http://purl.org/dc/terms/" xmlns:xsi="http://www.w3.org/2001/XMLSchema-instance" xsi:type="dcterms:W3CDTF">2026-04-22T18:40:00Z</dcterms:created>
  <dcterms:modified xmlns:dcterms="http://purl.org/dc/terms/" xmlns:xsi="http://www.w3.org/2001/XMLSchema-instance" xsi:type="dcterms:W3CDTF">2026-08-22T23:48:09Z</dcterms:modified>
  <cp:lastModifiedBy>Karthik Subramanian</cp:lastModifiedBy>
  <cp:category>Analysis workbook</cp:category>
  <cp:keywords>SCD2, DIM_CUSTOMER, load window</cp:keywords>
</cp:coreProperties>
</file>