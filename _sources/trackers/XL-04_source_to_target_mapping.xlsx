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T_Mapping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'S2T_Mapping'!$A$5:$L$69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INR &quot;#,##,##0.0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006100"/>
      <sz val="10"/>
    </font>
    <font>
      <name val="Calibri"/>
      <color rgb="009C6500"/>
      <sz val="10"/>
    </font>
    <font>
      <name val="Calibri"/>
      <color rgb="00595959"/>
      <sz val="10"/>
    </font>
    <font>
      <name val="Calibri"/>
      <i val="1"/>
      <color rgb="00A6A6A6"/>
      <sz val="8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pivotButton="0" quotePrefix="0" xfId="0"/>
    <xf numFmtId="0" fontId="6" fillId="3" borderId="1" pivotButton="0" quotePrefix="0" xfId="0"/>
    <xf numFmtId="0" fontId="6" fillId="3" borderId="1" applyAlignment="1" pivotButton="0" quotePrefix="0" xfId="0">
      <alignment vertical="top" wrapText="1"/>
    </xf>
    <xf numFmtId="0" fontId="7" fillId="4" borderId="1" pivotButton="0" quotePrefix="0" xfId="0"/>
    <xf numFmtId="0" fontId="8" fillId="5" borderId="1" pivotButton="0" quotePrefix="0" xfId="0"/>
    <xf numFmtId="0" fontId="5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vertical="top" wrapText="1"/>
    </xf>
    <xf numFmtId="0" fontId="5" fillId="7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vertical="top" wrapText="1"/>
    </xf>
    <xf numFmtId="0" fontId="9" fillId="8" borderId="1" pivotButton="0" quotePrefix="0" xfId="0"/>
    <xf numFmtId="0" fontId="5" fillId="9" borderId="1" pivotButton="0" quotePrefix="0" xfId="0"/>
    <xf numFmtId="0" fontId="6" fillId="9" borderId="1" pivotButton="0" quotePrefix="0" xfId="0"/>
    <xf numFmtId="0" fontId="6" fillId="9" borderId="1" applyAlignment="1" pivotButton="0" quotePrefix="0" xfId="0">
      <alignment vertical="top" wrapText="1"/>
    </xf>
    <xf numFmtId="0" fontId="5" fillId="10" borderId="1" pivotButton="0" quotePrefix="0" xfId="0"/>
    <xf numFmtId="0" fontId="6" fillId="10" borderId="1" pivotButton="0" quotePrefix="0" xfId="0"/>
    <xf numFmtId="0" fontId="6" fillId="10" borderId="1" applyAlignment="1" pivotButton="0" quotePrefix="0" xfId="0">
      <alignment vertical="top" wrapText="1"/>
    </xf>
    <xf numFmtId="0" fontId="6" fillId="0" borderId="1" pivotButton="0" quotePrefix="0" xfId="0"/>
    <xf numFmtId="0" fontId="4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wrapText="1"/>
    </xf>
    <xf numFmtId="164" fontId="3" fillId="0" borderId="0" pivotButton="0" quotePrefix="0" xfId="0"/>
    <xf numFmtId="165" fontId="3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Ishaan Bhatt</author>
  </authors>
  <commentList>
    <comment ref="A6" authorId="0" shapeId="0">
      <text>
        <t>Mapping-level filter on MAP_FACT_INVOICE_LINE: DOC_TYPE &lt;&gt; 'SMP' (excludes sample despatches). This is the documented filter, it is in the interface as built. INVOICE_HEADER.DOC_TYPE mix at the last profiling run: INV 94.7%, STN 4.7%, SMP 0.6%.</t>
      </text>
    </comment>
    <comment ref="G46" authorId="0" shapeId="0">
      <text>
        <t>Parking this one. There is no brand or category name table anywhere in OMS_PROD, only the codes on SKU_MASTER. Either we hardcode a code-to-name list in the mapping (six brands, not many) or we ask if Marketing has something outside ORION. Need Ani's read on this before I commit to an approach.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3" customWidth="1" min="4" max="4"/>
    <col width="16" customWidth="1" min="5" max="5"/>
    <col width="16" customWidth="1" min="6" max="6"/>
    <col width="46" customWidth="1" min="7" max="7"/>
    <col width="9" customWidth="1" min="8" max="8"/>
    <col width="20" customWidth="1" min="9" max="9"/>
    <col width="12" customWidth="1" min="10" max="10"/>
    <col width="9" customWidth="1" min="11" max="11"/>
    <col width="40" customWidth="1" min="12" max="12"/>
  </cols>
  <sheetData>
    <row r="1">
      <c r="A1" s="1" t="inlineStr">
        <is>
          <t>BCPL_EDW - Source to Target Mapping (working draft)</t>
        </is>
      </c>
    </row>
    <row r="2">
      <c r="A2" s="2" t="inlineStr">
        <is>
          <t>Northlane Analytics | Project Drishti | draft v0.6 | last saved 10-Jun-2026</t>
        </is>
      </c>
    </row>
    <row r="3">
      <c r="A3" s="3" t="inlineStr">
        <is>
          <t>Status colour key: green = Complete, amber = In progress, grey = Not started. Table names and columns per schema_edw.sql / schema_oltp.sql.</t>
        </is>
      </c>
    </row>
    <row r="5">
      <c r="A5" s="4" t="inlineStr">
        <is>
          <t>TARGET_TABLE</t>
        </is>
      </c>
      <c r="B5" s="4" t="inlineStr">
        <is>
          <t>TARGET_COLUMN</t>
        </is>
      </c>
      <c r="C5" s="4" t="inlineStr">
        <is>
          <t>DATATYPE</t>
        </is>
      </c>
      <c r="D5" s="4" t="inlineStr">
        <is>
          <t>SOURCE_SCHEMA</t>
        </is>
      </c>
      <c r="E5" s="4" t="inlineStr">
        <is>
          <t>SOURCE_TABLE</t>
        </is>
      </c>
      <c r="F5" s="4" t="inlineStr">
        <is>
          <t>SOURCE_COLUMN</t>
        </is>
      </c>
      <c r="G5" s="4" t="inlineStr">
        <is>
          <t>TRANSFORMATION</t>
        </is>
      </c>
      <c r="H5" s="4" t="inlineStr">
        <is>
          <t>SCD_TYPE</t>
        </is>
      </c>
      <c r="I5" s="4" t="inlineStr">
        <is>
          <t>ODI_MAPPING</t>
        </is>
      </c>
      <c r="J5" s="4" t="inlineStr">
        <is>
          <t>STATUS</t>
        </is>
      </c>
      <c r="K5" s="4" t="inlineStr">
        <is>
          <t>OWNER</t>
        </is>
      </c>
      <c r="L5" s="4" t="inlineStr">
        <is>
          <t>NOTES</t>
        </is>
      </c>
    </row>
    <row r="6">
      <c r="A6" s="5" t="inlineStr">
        <is>
          <t>FACT_INVOICE_LINE</t>
        </is>
      </c>
      <c r="B6" s="6" t="inlineStr">
        <is>
          <t>INVOICE_LINE_KEY</t>
        </is>
      </c>
      <c r="C6" s="6" t="inlineStr">
        <is>
          <t>NUMBER(14)</t>
        </is>
      </c>
      <c r="D6" s="6" t="n"/>
      <c r="E6" s="6" t="n"/>
      <c r="F6" s="6" t="n"/>
      <c r="G6" s="7" t="inlineStr">
        <is>
          <t>surrogate key, sequence generated</t>
        </is>
      </c>
      <c r="H6" s="6" t="n"/>
      <c r="I6" s="6" t="inlineStr">
        <is>
          <t>MAP_FACT_INVOICE_LINE</t>
        </is>
      </c>
      <c r="J6" s="8" t="inlineStr">
        <is>
          <t>Complete</t>
        </is>
      </c>
      <c r="K6" s="6" t="inlineStr">
        <is>
          <t>Ishaan</t>
        </is>
      </c>
      <c r="L6" s="7" t="n"/>
    </row>
    <row r="7">
      <c r="A7" s="5" t="inlineStr">
        <is>
          <t>FACT_INVOICE_LINE</t>
        </is>
      </c>
      <c r="B7" s="6" t="inlineStr">
        <is>
          <t>INVOICE_ID</t>
        </is>
      </c>
      <c r="C7" s="6" t="inlineStr">
        <is>
          <t>NUMBER(12)</t>
        </is>
      </c>
      <c r="D7" s="6" t="inlineStr">
        <is>
          <t>OMS_PROD</t>
        </is>
      </c>
      <c r="E7" s="6" t="inlineStr">
        <is>
          <t>INVOICE_HEADER</t>
        </is>
      </c>
      <c r="F7" s="6" t="inlineStr">
        <is>
          <t>INVOICE_ID</t>
        </is>
      </c>
      <c r="G7" s="7" t="inlineStr">
        <is>
          <t>direct</t>
        </is>
      </c>
      <c r="H7" s="6" t="n"/>
      <c r="I7" s="6" t="inlineStr">
        <is>
          <t>MAP_FACT_INVOICE_LINE</t>
        </is>
      </c>
      <c r="J7" s="8" t="inlineStr">
        <is>
          <t>Complete</t>
        </is>
      </c>
      <c r="K7" s="6" t="inlineStr">
        <is>
          <t>Ishaan</t>
        </is>
      </c>
      <c r="L7" s="7" t="n"/>
    </row>
    <row r="8">
      <c r="A8" s="5" t="inlineStr">
        <is>
          <t>FACT_INVOICE_LINE</t>
        </is>
      </c>
      <c r="B8" s="6" t="inlineStr">
        <is>
          <t>INVOICE_LINE_ID</t>
        </is>
      </c>
      <c r="C8" s="6" t="inlineStr">
        <is>
          <t>NUMBER(12)</t>
        </is>
      </c>
      <c r="D8" s="6" t="inlineStr">
        <is>
          <t>OMS_PROD</t>
        </is>
      </c>
      <c r="E8" s="6" t="inlineStr">
        <is>
          <t>INVOICE_LINE</t>
        </is>
      </c>
      <c r="F8" s="6" t="inlineStr">
        <is>
          <t>INVOICE_LINE_ID</t>
        </is>
      </c>
      <c r="G8" s="7" t="inlineStr">
        <is>
          <t>direct</t>
        </is>
      </c>
      <c r="H8" s="6" t="n"/>
      <c r="I8" s="6" t="inlineStr">
        <is>
          <t>MAP_FACT_INVOICE_LINE</t>
        </is>
      </c>
      <c r="J8" s="8" t="inlineStr">
        <is>
          <t>Complete</t>
        </is>
      </c>
      <c r="K8" s="6" t="inlineStr">
        <is>
          <t>Ishaan</t>
        </is>
      </c>
      <c r="L8" s="7" t="n"/>
    </row>
    <row r="9">
      <c r="A9" s="5" t="inlineStr">
        <is>
          <t>FACT_INVOICE_LINE</t>
        </is>
      </c>
      <c r="B9" s="6" t="inlineStr">
        <is>
          <t>DATE_KEY</t>
        </is>
      </c>
      <c r="C9" s="6" t="inlineStr">
        <is>
          <t>NUMBER(8)</t>
        </is>
      </c>
      <c r="D9" s="6" t="inlineStr">
        <is>
          <t>OMS_PROD</t>
        </is>
      </c>
      <c r="E9" s="6" t="inlineStr">
        <is>
          <t>INVOICE_HEADER</t>
        </is>
      </c>
      <c r="F9" s="6" t="inlineStr">
        <is>
          <t>INVOICE_DT</t>
        </is>
      </c>
      <c r="G9" s="7" t="inlineStr">
        <is>
          <t>TO_NUMBER(TO_CHAR(INVOICE_DT,'YYYYMMDD')), lookup DIM_DATE. Keyed off INVOICE_DT (IST) as of CHG0021207 / ADR-005, do not use CREATED_TS (UTC) - see VAR-002.</t>
        </is>
      </c>
      <c r="H9" s="6" t="n"/>
      <c r="I9" s="6" t="inlineStr">
        <is>
          <t>MAP_FACT_INVOICE_LINE</t>
        </is>
      </c>
      <c r="J9" s="8" t="inlineStr">
        <is>
          <t>Complete</t>
        </is>
      </c>
      <c r="K9" s="6" t="inlineStr">
        <is>
          <t>Ishaan</t>
        </is>
      </c>
      <c r="L9" s="7" t="inlineStr">
        <is>
          <t>fix deployed 03-Jun-2026</t>
        </is>
      </c>
    </row>
    <row r="10">
      <c r="A10" s="5" t="inlineStr">
        <is>
          <t>FACT_INVOICE_LINE</t>
        </is>
      </c>
      <c r="B10" s="6" t="inlineStr">
        <is>
          <t>CUSTOMER_KEY</t>
        </is>
      </c>
      <c r="C10" s="6" t="inlineStr">
        <is>
          <t>NUMBER(10)</t>
        </is>
      </c>
      <c r="D10" s="6" t="inlineStr">
        <is>
          <t>OMS_PROD</t>
        </is>
      </c>
      <c r="E10" s="6" t="inlineStr">
        <is>
          <t>INVOICE_HEADER</t>
        </is>
      </c>
      <c r="F10" s="6" t="inlineStr">
        <is>
          <t>CUST_ID</t>
        </is>
      </c>
      <c r="G10" s="7" t="inlineStr">
        <is>
          <t>lookup DIM_CUSTOMER on CUSTOMER_ID, CURRENT_FLG='Y', else -1 (UNKNOWN)</t>
        </is>
      </c>
      <c r="H10" s="6" t="inlineStr">
        <is>
          <t>SCD2</t>
        </is>
      </c>
      <c r="I10" s="6" t="inlineStr">
        <is>
          <t>MAP_FACT_INVOICE_LINE</t>
        </is>
      </c>
      <c r="J10" s="8" t="inlineStr">
        <is>
          <t>Complete</t>
        </is>
      </c>
      <c r="K10" s="6" t="inlineStr">
        <is>
          <t>Ishaan</t>
        </is>
      </c>
      <c r="L10" s="7" t="n"/>
    </row>
    <row r="11">
      <c r="A11" s="5" t="inlineStr">
        <is>
          <t>FACT_INVOICE_LINE</t>
        </is>
      </c>
      <c r="B11" s="6" t="inlineStr">
        <is>
          <t>PRODUCT_KEY</t>
        </is>
      </c>
      <c r="C11" s="6" t="inlineStr">
        <is>
          <t>NUMBER(10)</t>
        </is>
      </c>
      <c r="D11" s="6" t="inlineStr">
        <is>
          <t>OMS_PROD</t>
        </is>
      </c>
      <c r="E11" s="6" t="inlineStr">
        <is>
          <t>INVOICE_LINE</t>
        </is>
      </c>
      <c r="F11" s="6" t="inlineStr">
        <is>
          <t>SKU_ID</t>
        </is>
      </c>
      <c r="G11" s="7" t="inlineStr">
        <is>
          <t>lookup DIM_PRODUCT on SKU_ID, CURRENT_FLG='Y', else -1 (UNKNOWN)</t>
        </is>
      </c>
      <c r="H11" s="6" t="inlineStr">
        <is>
          <t>SCD2</t>
        </is>
      </c>
      <c r="I11" s="6" t="inlineStr">
        <is>
          <t>MAP_FACT_INVOICE_LINE</t>
        </is>
      </c>
      <c r="J11" s="8" t="inlineStr">
        <is>
          <t>Complete</t>
        </is>
      </c>
      <c r="K11" s="6" t="inlineStr">
        <is>
          <t>Ishaan</t>
        </is>
      </c>
      <c r="L11" s="7" t="n"/>
    </row>
    <row r="12">
      <c r="A12" s="5" t="inlineStr">
        <is>
          <t>FACT_INVOICE_LINE</t>
        </is>
      </c>
      <c r="B12" s="6" t="inlineStr">
        <is>
          <t>GEO_KEY</t>
        </is>
      </c>
      <c r="C12" s="6" t="inlineStr">
        <is>
          <t>NUMBER(6)</t>
        </is>
      </c>
      <c r="D12" s="6" t="inlineStr">
        <is>
          <t>OMS_PROD</t>
        </is>
      </c>
      <c r="E12" s="6" t="inlineStr">
        <is>
          <t>INVOICE_HEADER</t>
        </is>
      </c>
      <c r="F12" s="6" t="inlineStr">
        <is>
          <t>DEPOT_CD</t>
        </is>
      </c>
      <c r="G12" s="7" t="inlineStr">
        <is>
          <t>lookup DIM_GEOGRAPHY on DEPOT_CODE, else -1</t>
        </is>
      </c>
      <c r="H12" s="6" t="n"/>
      <c r="I12" s="6" t="inlineStr">
        <is>
          <t>MAP_FACT_INVOICE_LINE</t>
        </is>
      </c>
      <c r="J12" s="8" t="inlineStr">
        <is>
          <t>Complete</t>
        </is>
      </c>
      <c r="K12" s="6" t="inlineStr">
        <is>
          <t>Ishaan</t>
        </is>
      </c>
      <c r="L12" s="7" t="n"/>
    </row>
    <row r="13">
      <c r="A13" s="5" t="inlineStr">
        <is>
          <t>FACT_INVOICE_LINE</t>
        </is>
      </c>
      <c r="B13" s="6" t="inlineStr">
        <is>
          <t>SALESREP_KEY</t>
        </is>
      </c>
      <c r="C13" s="6" t="inlineStr">
        <is>
          <t>NUMBER(8)</t>
        </is>
      </c>
      <c r="D13" s="6" t="inlineStr">
        <is>
          <t>OMS_PROD</t>
        </is>
      </c>
      <c r="E13" s="6" t="inlineStr">
        <is>
          <t>TERRITORY_MASTER</t>
        </is>
      </c>
      <c r="F13" s="6" t="inlineStr">
        <is>
          <t>EMP_ID</t>
        </is>
      </c>
      <c r="G13" s="7" t="inlineStr">
        <is>
          <t>TBC - derive via INVOICE_HEADER.CUST_ID -&gt; CUSTOMER.TERRITORY_CD -&gt; TERRITORY_MASTER.EMP_ID -&gt; DIM_SALESREP.EMP_ID (current). two hop, not happy with it yet</t>
        </is>
      </c>
      <c r="H13" s="6" t="inlineStr">
        <is>
          <t>SCD2</t>
        </is>
      </c>
      <c r="I13" s="6" t="inlineStr">
        <is>
          <t>MAP_FACT_INVOICE_LINE</t>
        </is>
      </c>
      <c r="J13" s="9" t="inlineStr">
        <is>
          <t>In progress</t>
        </is>
      </c>
      <c r="K13" s="6" t="inlineStr">
        <is>
          <t>Ishaan</t>
        </is>
      </c>
      <c r="L13" s="7" t="inlineStr">
        <is>
          <t>ask Ani</t>
        </is>
      </c>
    </row>
    <row r="14">
      <c r="A14" s="5" t="inlineStr">
        <is>
          <t>FACT_INVOICE_LINE</t>
        </is>
      </c>
      <c r="B14" s="6" t="inlineStr">
        <is>
          <t>SCHEME_KEY</t>
        </is>
      </c>
      <c r="C14" s="6" t="inlineStr">
        <is>
          <t>NUMBER(8)</t>
        </is>
      </c>
      <c r="D14" s="6" t="inlineStr">
        <is>
          <t>OMS_PROD</t>
        </is>
      </c>
      <c r="E14" s="6" t="inlineStr">
        <is>
          <t>INVOICE_LINE</t>
        </is>
      </c>
      <c r="F14" s="6" t="inlineStr">
        <is>
          <t>SCHEME_ID</t>
        </is>
      </c>
      <c r="G14" s="7" t="inlineStr">
        <is>
          <t>lookup DIM_SCHEME on SCHEME_ID, else -1</t>
        </is>
      </c>
      <c r="H14" s="6" t="n"/>
      <c r="I14" s="6" t="inlineStr">
        <is>
          <t>MAP_FACT_INVOICE_LINE</t>
        </is>
      </c>
      <c r="J14" s="8" t="inlineStr">
        <is>
          <t>Complete</t>
        </is>
      </c>
      <c r="K14" s="6" t="inlineStr">
        <is>
          <t>Ishaan</t>
        </is>
      </c>
      <c r="L14" s="7" t="n"/>
    </row>
    <row r="15">
      <c r="A15" s="5" t="inlineStr">
        <is>
          <t>FACT_INVOICE_LINE</t>
        </is>
      </c>
      <c r="B15" s="6" t="inlineStr">
        <is>
          <t>QTY_CS</t>
        </is>
      </c>
      <c r="C15" s="6" t="inlineStr">
        <is>
          <t>NUMBER(12,3)</t>
        </is>
      </c>
      <c r="D15" s="6" t="inlineStr">
        <is>
          <t>OMS_PROD</t>
        </is>
      </c>
      <c r="E15" s="6" t="inlineStr">
        <is>
          <t>INVOICE_LINE</t>
        </is>
      </c>
      <c r="F15" s="6" t="inlineStr">
        <is>
          <t>QTY_CS</t>
        </is>
      </c>
      <c r="G15" s="7" t="inlineStr">
        <is>
          <t>direct</t>
        </is>
      </c>
      <c r="H15" s="6" t="n"/>
      <c r="I15" s="6" t="inlineStr">
        <is>
          <t>MAP_FACT_INVOICE_LINE</t>
        </is>
      </c>
      <c r="J15" s="8" t="inlineStr">
        <is>
          <t>Complete</t>
        </is>
      </c>
      <c r="K15" s="6" t="inlineStr">
        <is>
          <t>Ishaan</t>
        </is>
      </c>
      <c r="L15" s="7" t="n"/>
    </row>
    <row r="16">
      <c r="A16" s="5" t="inlineStr">
        <is>
          <t>FACT_INVOICE_LINE</t>
        </is>
      </c>
      <c r="B16" s="6" t="inlineStr">
        <is>
          <t>QTY_EA</t>
        </is>
      </c>
      <c r="C16" s="6" t="inlineStr">
        <is>
          <t>NUMBER(12,3)</t>
        </is>
      </c>
      <c r="D16" s="6" t="inlineStr">
        <is>
          <t>OMS_PROD</t>
        </is>
      </c>
      <c r="E16" s="6" t="inlineStr">
        <is>
          <t>INVOICE_LINE</t>
        </is>
      </c>
      <c r="F16" s="6" t="inlineStr">
        <is>
          <t>QTY_EA</t>
        </is>
      </c>
      <c r="G16" s="7" t="inlineStr">
        <is>
          <t>direct</t>
        </is>
      </c>
      <c r="H16" s="6" t="n"/>
      <c r="I16" s="6" t="inlineStr">
        <is>
          <t>MAP_FACT_INVOICE_LINE</t>
        </is>
      </c>
      <c r="J16" s="8" t="inlineStr">
        <is>
          <t>Complete</t>
        </is>
      </c>
      <c r="K16" s="6" t="inlineStr">
        <is>
          <t>Ishaan</t>
        </is>
      </c>
      <c r="L16" s="7" t="n"/>
    </row>
    <row r="17">
      <c r="A17" s="5" t="inlineStr">
        <is>
          <t>FACT_INVOICE_LINE</t>
        </is>
      </c>
      <c r="B17" s="6" t="inlineStr">
        <is>
          <t>GROSS_AMT</t>
        </is>
      </c>
      <c r="C17" s="6" t="inlineStr">
        <is>
          <t>NUMBER(16,2)</t>
        </is>
      </c>
      <c r="D17" s="6" t="inlineStr">
        <is>
          <t>OMS_PROD</t>
        </is>
      </c>
      <c r="E17" s="6" t="inlineStr">
        <is>
          <t>INVOICE_LINE</t>
        </is>
      </c>
      <c r="F17" s="6" t="inlineStr">
        <is>
          <t>GROSS_AMT</t>
        </is>
      </c>
      <c r="G17" s="7" t="inlineStr">
        <is>
          <t>direct</t>
        </is>
      </c>
      <c r="H17" s="6" t="n"/>
      <c r="I17" s="6" t="inlineStr">
        <is>
          <t>MAP_FACT_INVOICE_LINE</t>
        </is>
      </c>
      <c r="J17" s="8" t="inlineStr">
        <is>
          <t>Complete</t>
        </is>
      </c>
      <c r="K17" s="6" t="inlineStr">
        <is>
          <t>Ishaan</t>
        </is>
      </c>
      <c r="L17" s="7" t="n"/>
    </row>
    <row r="18">
      <c r="A18" s="5" t="inlineStr">
        <is>
          <t>FACT_INVOICE_LINE</t>
        </is>
      </c>
      <c r="B18" s="6" t="inlineStr">
        <is>
          <t>SCHEME_DISC_AMT</t>
        </is>
      </c>
      <c r="C18" s="6" t="inlineStr">
        <is>
          <t>NUMBER(16,2)</t>
        </is>
      </c>
      <c r="D18" s="6" t="inlineStr">
        <is>
          <t>OMS_PROD</t>
        </is>
      </c>
      <c r="E18" s="6" t="inlineStr">
        <is>
          <t>INVOICE_LINE</t>
        </is>
      </c>
      <c r="F18" s="6" t="inlineStr">
        <is>
          <t>SCHEME_DISC_AMT</t>
        </is>
      </c>
      <c r="G18" s="7" t="inlineStr">
        <is>
          <t>same as above</t>
        </is>
      </c>
      <c r="H18" s="6" t="n"/>
      <c r="I18" s="6" t="inlineStr">
        <is>
          <t>MAP_FACT_INVOICE_LINE</t>
        </is>
      </c>
      <c r="J18" s="8" t="inlineStr">
        <is>
          <t>Complete</t>
        </is>
      </c>
      <c r="K18" s="6" t="inlineStr">
        <is>
          <t>Ishaan</t>
        </is>
      </c>
      <c r="L18" s="7" t="n"/>
    </row>
    <row r="19">
      <c r="A19" s="5" t="inlineStr">
        <is>
          <t>FACT_INVOICE_LINE</t>
        </is>
      </c>
      <c r="B19" s="6" t="inlineStr">
        <is>
          <t>CASH_DISC_AMT</t>
        </is>
      </c>
      <c r="C19" s="6" t="inlineStr">
        <is>
          <t>NUMBER(16,2)</t>
        </is>
      </c>
      <c r="D19" s="6" t="inlineStr">
        <is>
          <t>OMS_PROD</t>
        </is>
      </c>
      <c r="E19" s="6" t="inlineStr">
        <is>
          <t>INVOICE_LINE</t>
        </is>
      </c>
      <c r="F19" s="6" t="inlineStr">
        <is>
          <t>CASH_DISC_AMT</t>
        </is>
      </c>
      <c r="G19" s="7" t="inlineStr">
        <is>
          <t>same as above</t>
        </is>
      </c>
      <c r="H19" s="6" t="n"/>
      <c r="I19" s="6" t="inlineStr">
        <is>
          <t>MAP_FACT_INVOICE_LINE</t>
        </is>
      </c>
      <c r="J19" s="8" t="inlineStr">
        <is>
          <t>Complete</t>
        </is>
      </c>
      <c r="K19" s="6" t="inlineStr">
        <is>
          <t>Ishaan</t>
        </is>
      </c>
      <c r="L19" s="7" t="n"/>
    </row>
    <row r="20">
      <c r="A20" s="5" t="inlineStr">
        <is>
          <t>FACT_INVOICE_LINE</t>
        </is>
      </c>
      <c r="B20" s="6" t="inlineStr">
        <is>
          <t>TAX_AMT</t>
        </is>
      </c>
      <c r="C20" s="6" t="inlineStr">
        <is>
          <t>NUMBER(16,2)</t>
        </is>
      </c>
      <c r="D20" s="6" t="inlineStr">
        <is>
          <t>OMS_PROD</t>
        </is>
      </c>
      <c r="E20" s="6" t="inlineStr">
        <is>
          <t>INVOICE_LINE</t>
        </is>
      </c>
      <c r="F20" s="6" t="inlineStr">
        <is>
          <t>TAX_AMT</t>
        </is>
      </c>
      <c r="G20" s="7" t="inlineStr">
        <is>
          <t>same as above</t>
        </is>
      </c>
      <c r="H20" s="6" t="n"/>
      <c r="I20" s="6" t="inlineStr">
        <is>
          <t>MAP_FACT_INVOICE_LINE</t>
        </is>
      </c>
      <c r="J20" s="8" t="inlineStr">
        <is>
          <t>Complete</t>
        </is>
      </c>
      <c r="K20" s="6" t="inlineStr">
        <is>
          <t>Ishaan</t>
        </is>
      </c>
      <c r="L20" s="7" t="n"/>
    </row>
    <row r="21">
      <c r="A21" s="5" t="inlineStr">
        <is>
          <t>FACT_INVOICE_LINE</t>
        </is>
      </c>
      <c r="B21" s="6" t="inlineStr">
        <is>
          <t>NET_AMT</t>
        </is>
      </c>
      <c r="C21" s="6" t="inlineStr">
        <is>
          <t>NUMBER(16,2)</t>
        </is>
      </c>
      <c r="D21" s="6" t="inlineStr">
        <is>
          <t>OMS_PROD</t>
        </is>
      </c>
      <c r="E21" s="6" t="inlineStr">
        <is>
          <t>INVOICE_LINE</t>
        </is>
      </c>
      <c r="F21" s="6" t="inlineStr">
        <is>
          <t>NET_AMT</t>
        </is>
      </c>
      <c r="G21" s="7" t="inlineStr">
        <is>
          <t>same as above</t>
        </is>
      </c>
      <c r="H21" s="6" t="n"/>
      <c r="I21" s="6" t="inlineStr">
        <is>
          <t>MAP_FACT_INVOICE_LINE</t>
        </is>
      </c>
      <c r="J21" s="8" t="inlineStr">
        <is>
          <t>Complete</t>
        </is>
      </c>
      <c r="K21" s="6" t="inlineStr">
        <is>
          <t>Ishaan</t>
        </is>
      </c>
      <c r="L21" s="7" t="n"/>
    </row>
    <row r="22">
      <c r="A22" s="5" t="inlineStr">
        <is>
          <t>FACT_INVOICE_LINE</t>
        </is>
      </c>
      <c r="B22" s="6" t="inlineStr">
        <is>
          <t>SRC_DELETE_FLAG</t>
        </is>
      </c>
      <c r="C22" s="6" t="inlineStr">
        <is>
          <t>CHAR(1)</t>
        </is>
      </c>
      <c r="D22" s="6" t="inlineStr">
        <is>
          <t>OMS_PROD</t>
        </is>
      </c>
      <c r="E22" s="6" t="inlineStr">
        <is>
          <t>INVOICE_LINE</t>
        </is>
      </c>
      <c r="F22" s="6" t="inlineStr">
        <is>
          <t>DELETE_FLAG</t>
        </is>
      </c>
      <c r="G22" s="7" t="inlineStr">
        <is>
          <t>carried through as-is (Y/N/null). Extract predicate is NVL(DELETE_FLAG,'N')='N' as of CHG0021184 - see VAR-001.</t>
        </is>
      </c>
      <c r="H22" s="6" t="n"/>
      <c r="I22" s="6" t="inlineStr">
        <is>
          <t>MAP_FACT_INVOICE_LINE</t>
        </is>
      </c>
      <c r="J22" s="8" t="inlineStr">
        <is>
          <t>Complete</t>
        </is>
      </c>
      <c r="K22" s="6" t="inlineStr">
        <is>
          <t>Ishaan</t>
        </is>
      </c>
      <c r="L22" s="7" t="inlineStr">
        <is>
          <t>fix deployed 03-Jun-2026</t>
        </is>
      </c>
    </row>
    <row r="23">
      <c r="A23" s="5" t="inlineStr">
        <is>
          <t>FACT_INVOICE_LINE</t>
        </is>
      </c>
      <c r="B23" s="6" t="inlineStr">
        <is>
          <t>LOAD_DT</t>
        </is>
      </c>
      <c r="C23" s="6" t="inlineStr">
        <is>
          <t>DATE</t>
        </is>
      </c>
      <c r="D23" s="6" t="n"/>
      <c r="E23" s="6" t="n"/>
      <c r="F23" s="6" t="n"/>
      <c r="G23" s="7" t="inlineStr">
        <is>
          <t>batch load timestamp, system generated</t>
        </is>
      </c>
      <c r="H23" s="6" t="n"/>
      <c r="I23" s="6" t="inlineStr">
        <is>
          <t>MAP_FACT_INVOICE_LINE</t>
        </is>
      </c>
      <c r="J23" s="8" t="inlineStr">
        <is>
          <t>Complete</t>
        </is>
      </c>
      <c r="K23" s="6" t="inlineStr">
        <is>
          <t>Ishaan</t>
        </is>
      </c>
      <c r="L23" s="7" t="n"/>
    </row>
    <row r="24">
      <c r="A24" s="5" t="inlineStr">
        <is>
          <t>FACT_INVOICE_LINE</t>
        </is>
      </c>
      <c r="B24" s="6" t="inlineStr">
        <is>
          <t>BATCH_ID</t>
        </is>
      </c>
      <c r="C24" s="6" t="inlineStr">
        <is>
          <t>NUMBER(10)</t>
        </is>
      </c>
      <c r="D24" s="6" t="n"/>
      <c r="E24" s="6" t="n"/>
      <c r="F24" s="6" t="n"/>
      <c r="G24" s="7" t="inlineStr">
        <is>
          <t>from ETL_BATCH_CONTROL, system generated</t>
        </is>
      </c>
      <c r="H24" s="6" t="n"/>
      <c r="I24" s="6" t="inlineStr">
        <is>
          <t>MAP_FACT_INVOICE_LINE</t>
        </is>
      </c>
      <c r="J24" s="8" t="inlineStr">
        <is>
          <t>Complete</t>
        </is>
      </c>
      <c r="K24" s="6" t="inlineStr">
        <is>
          <t>Ishaan</t>
        </is>
      </c>
      <c r="L24" s="7" t="n"/>
    </row>
    <row r="25">
      <c r="A25" s="5" t="inlineStr">
        <is>
          <t>FACT_INVOICE_LINE</t>
        </is>
      </c>
      <c r="B25" s="6" t="inlineStr">
        <is>
          <t>ODI_SESS_NO</t>
        </is>
      </c>
      <c r="C25" s="6" t="inlineStr">
        <is>
          <t>NUMBER(12)</t>
        </is>
      </c>
      <c r="D25" s="6" t="n"/>
      <c r="E25" s="6" t="n"/>
      <c r="F25" s="6" t="n"/>
      <c r="G25" s="7" t="inlineStr">
        <is>
          <t>ODI session number, system generated</t>
        </is>
      </c>
      <c r="H25" s="6" t="n"/>
      <c r="I25" s="6" t="inlineStr">
        <is>
          <t>MAP_FACT_INVOICE_LINE</t>
        </is>
      </c>
      <c r="J25" s="8" t="inlineStr">
        <is>
          <t>Complete</t>
        </is>
      </c>
      <c r="K25" s="6" t="inlineStr">
        <is>
          <t>Ishaan</t>
        </is>
      </c>
      <c r="L25" s="7" t="n"/>
    </row>
    <row r="26">
      <c r="A26" s="10" t="inlineStr">
        <is>
          <t>DIM_CUSTOMER</t>
        </is>
      </c>
      <c r="B26" s="11" t="inlineStr">
        <is>
          <t>CUSTOMER_KEY</t>
        </is>
      </c>
      <c r="C26" s="11" t="inlineStr">
        <is>
          <t>NUMBER(10)</t>
        </is>
      </c>
      <c r="D26" s="11" t="n"/>
      <c r="E26" s="11" t="n"/>
      <c r="F26" s="11" t="n"/>
      <c r="G26" s="12" t="inlineStr">
        <is>
          <t>surrogate key, sequence generated. -1 = UNKNOWN member</t>
        </is>
      </c>
      <c r="H26" s="11" t="inlineStr">
        <is>
          <t>SCD2</t>
        </is>
      </c>
      <c r="I26" s="11" t="inlineStr">
        <is>
          <t>MAP_DIM_CUSTOMER</t>
        </is>
      </c>
      <c r="J26" s="8" t="inlineStr">
        <is>
          <t>Complete</t>
        </is>
      </c>
      <c r="K26" s="11" t="inlineStr">
        <is>
          <t>Ishaan</t>
        </is>
      </c>
      <c r="L26" s="12" t="n"/>
    </row>
    <row r="27">
      <c r="A27" s="10" t="inlineStr">
        <is>
          <t>DIM_CUSTOMER</t>
        </is>
      </c>
      <c r="B27" s="11" t="inlineStr">
        <is>
          <t>CUSTOMER_ID</t>
        </is>
      </c>
      <c r="C27" s="11" t="inlineStr">
        <is>
          <t>NUMBER(10)</t>
        </is>
      </c>
      <c r="D27" s="11" t="inlineStr">
        <is>
          <t>OMS_PROD</t>
        </is>
      </c>
      <c r="E27" s="11" t="inlineStr">
        <is>
          <t>CUSTOMER</t>
        </is>
      </c>
      <c r="F27" s="11" t="inlineStr">
        <is>
          <t>CUST_ID</t>
        </is>
      </c>
      <c r="G27" s="12" t="inlineStr">
        <is>
          <t>direct (natural key)</t>
        </is>
      </c>
      <c r="H27" s="11" t="inlineStr">
        <is>
          <t>SCD2</t>
        </is>
      </c>
      <c r="I27" s="11" t="inlineStr">
        <is>
          <t>MAP_DIM_CUSTOMER</t>
        </is>
      </c>
      <c r="J27" s="8" t="inlineStr">
        <is>
          <t>Complete</t>
        </is>
      </c>
      <c r="K27" s="11" t="inlineStr">
        <is>
          <t>Ishaan</t>
        </is>
      </c>
      <c r="L27" s="12" t="n"/>
    </row>
    <row r="28">
      <c r="A28" s="10" t="inlineStr">
        <is>
          <t>DIM_CUSTOMER</t>
        </is>
      </c>
      <c r="B28" s="11" t="inlineStr">
        <is>
          <t>CUSTOMER_CODE</t>
        </is>
      </c>
      <c r="C28" s="11" t="inlineStr">
        <is>
          <t>VARCHAR2(20)</t>
        </is>
      </c>
      <c r="D28" s="11" t="inlineStr">
        <is>
          <t>OMS_PROD</t>
        </is>
      </c>
      <c r="E28" s="11" t="inlineStr">
        <is>
          <t>CUSTOMER</t>
        </is>
      </c>
      <c r="F28" s="11" t="inlineStr">
        <is>
          <t>CUST_CODE</t>
        </is>
      </c>
      <c r="G28" s="12" t="inlineStr">
        <is>
          <t>direct</t>
        </is>
      </c>
      <c r="H28" s="11" t="inlineStr">
        <is>
          <t>SCD2</t>
        </is>
      </c>
      <c r="I28" s="11" t="inlineStr">
        <is>
          <t>MAP_DIM_CUSTOMER</t>
        </is>
      </c>
      <c r="J28" s="8" t="inlineStr">
        <is>
          <t>Complete</t>
        </is>
      </c>
      <c r="K28" s="11" t="inlineStr">
        <is>
          <t>Ishaan</t>
        </is>
      </c>
      <c r="L28" s="12" t="n"/>
    </row>
    <row r="29">
      <c r="A29" s="10" t="inlineStr">
        <is>
          <t>DIM_CUSTOMER</t>
        </is>
      </c>
      <c r="B29" s="11" t="inlineStr">
        <is>
          <t>CUSTOMER_NAME</t>
        </is>
      </c>
      <c r="C29" s="11" t="inlineStr">
        <is>
          <t>VARCHAR2(120)</t>
        </is>
      </c>
      <c r="D29" s="11" t="inlineStr">
        <is>
          <t>OMS_PROD</t>
        </is>
      </c>
      <c r="E29" s="11" t="inlineStr">
        <is>
          <t>CUSTOMER</t>
        </is>
      </c>
      <c r="F29" s="11" t="inlineStr">
        <is>
          <t>CUST_NAME</t>
        </is>
      </c>
      <c r="G29" s="12" t="inlineStr">
        <is>
          <t>direct</t>
        </is>
      </c>
      <c r="H29" s="11" t="inlineStr">
        <is>
          <t>SCD2</t>
        </is>
      </c>
      <c r="I29" s="11" t="inlineStr">
        <is>
          <t>MAP_DIM_CUSTOMER</t>
        </is>
      </c>
      <c r="J29" s="8" t="inlineStr">
        <is>
          <t>Complete</t>
        </is>
      </c>
      <c r="K29" s="11" t="inlineStr">
        <is>
          <t>Ishaan</t>
        </is>
      </c>
      <c r="L29" s="12" t="n"/>
    </row>
    <row r="30">
      <c r="A30" s="10" t="inlineStr">
        <is>
          <t>DIM_CUSTOMER</t>
        </is>
      </c>
      <c r="B30" s="11" t="inlineStr">
        <is>
          <t>CUSTOMER_TYPE</t>
        </is>
      </c>
      <c r="C30" s="11" t="inlineStr">
        <is>
          <t>VARCHAR2(20)</t>
        </is>
      </c>
      <c r="D30" s="11" t="inlineStr">
        <is>
          <t>OMS_PROD</t>
        </is>
      </c>
      <c r="E30" s="11" t="inlineStr">
        <is>
          <t>CUSTOMER</t>
        </is>
      </c>
      <c r="F30" s="11" t="inlineStr">
        <is>
          <t>CUST_TYPE</t>
        </is>
      </c>
      <c r="G30" s="12" t="inlineStr">
        <is>
          <t>direct</t>
        </is>
      </c>
      <c r="H30" s="11" t="inlineStr">
        <is>
          <t>SCD2</t>
        </is>
      </c>
      <c r="I30" s="11" t="inlineStr">
        <is>
          <t>MAP_DIM_CUSTOMER</t>
        </is>
      </c>
      <c r="J30" s="8" t="inlineStr">
        <is>
          <t>Complete</t>
        </is>
      </c>
      <c r="K30" s="11" t="inlineStr">
        <is>
          <t>Ishaan</t>
        </is>
      </c>
      <c r="L30" s="12" t="n"/>
    </row>
    <row r="31">
      <c r="A31" s="10" t="inlineStr">
        <is>
          <t>DIM_CUSTOMER</t>
        </is>
      </c>
      <c r="B31" s="11" t="inlineStr">
        <is>
          <t>TERRITORY_CODE</t>
        </is>
      </c>
      <c r="C31" s="11" t="inlineStr">
        <is>
          <t>VARCHAR2(12)</t>
        </is>
      </c>
      <c r="D31" s="11" t="inlineStr">
        <is>
          <t>OMS_PROD</t>
        </is>
      </c>
      <c r="E31" s="11" t="inlineStr">
        <is>
          <t>CUSTOMER</t>
        </is>
      </c>
      <c r="F31" s="11" t="inlineStr">
        <is>
          <t>TERRITORY_CD</t>
        </is>
      </c>
      <c r="G31" s="12" t="inlineStr">
        <is>
          <t>direct</t>
        </is>
      </c>
      <c r="H31" s="11" t="inlineStr">
        <is>
          <t>SCD2</t>
        </is>
      </c>
      <c r="I31" s="11" t="inlineStr">
        <is>
          <t>MAP_DIM_CUSTOMER</t>
        </is>
      </c>
      <c r="J31" s="8" t="inlineStr">
        <is>
          <t>Complete</t>
        </is>
      </c>
      <c r="K31" s="11" t="inlineStr">
        <is>
          <t>Ishaan</t>
        </is>
      </c>
      <c r="L31" s="12" t="n"/>
    </row>
    <row r="32">
      <c r="A32" s="10" t="inlineStr">
        <is>
          <t>DIM_CUSTOMER</t>
        </is>
      </c>
      <c r="B32" s="11" t="inlineStr">
        <is>
          <t>REGION_CODE</t>
        </is>
      </c>
      <c r="C32" s="11" t="inlineStr">
        <is>
          <t>VARCHAR2(6)</t>
        </is>
      </c>
      <c r="D32" s="11" t="inlineStr">
        <is>
          <t>OMS_PROD</t>
        </is>
      </c>
      <c r="E32" s="11" t="inlineStr">
        <is>
          <t>DEPOT_MASTER</t>
        </is>
      </c>
      <c r="F32" s="11" t="inlineStr">
        <is>
          <t>REGION_CD</t>
        </is>
      </c>
      <c r="G32" s="12" t="inlineStr">
        <is>
          <t>lookup via CUSTOMER.DEPOT_CD -&gt; DEPOT_MASTER.REGION_CD</t>
        </is>
      </c>
      <c r="H32" s="11" t="inlineStr">
        <is>
          <t>SCD2</t>
        </is>
      </c>
      <c r="I32" s="11" t="inlineStr">
        <is>
          <t>MAP_DIM_CUSTOMER</t>
        </is>
      </c>
      <c r="J32" s="8" t="inlineStr">
        <is>
          <t>Complete</t>
        </is>
      </c>
      <c r="K32" s="11" t="inlineStr">
        <is>
          <t>Ishaan</t>
        </is>
      </c>
      <c r="L32" s="12" t="n"/>
    </row>
    <row r="33">
      <c r="A33" s="10" t="inlineStr">
        <is>
          <t>DIM_CUSTOMER</t>
        </is>
      </c>
      <c r="B33" s="11" t="inlineStr">
        <is>
          <t>STATE_CODE</t>
        </is>
      </c>
      <c r="C33" s="11" t="inlineStr">
        <is>
          <t>VARCHAR2(6)</t>
        </is>
      </c>
      <c r="D33" s="11" t="inlineStr">
        <is>
          <t>OMS_PROD</t>
        </is>
      </c>
      <c r="E33" s="11" t="inlineStr">
        <is>
          <t>DEPOT_MASTER</t>
        </is>
      </c>
      <c r="F33" s="11" t="inlineStr">
        <is>
          <t>STATE_CD</t>
        </is>
      </c>
      <c r="G33" s="12" t="inlineStr">
        <is>
          <t>lookup via CUSTOMER.DEPOT_CD -&gt; DEPOT_MASTER.STATE_CD</t>
        </is>
      </c>
      <c r="H33" s="11" t="inlineStr">
        <is>
          <t>SCD2</t>
        </is>
      </c>
      <c r="I33" s="11" t="inlineStr">
        <is>
          <t>MAP_DIM_CUSTOMER</t>
        </is>
      </c>
      <c r="J33" s="9" t="inlineStr">
        <is>
          <t>In progress</t>
        </is>
      </c>
      <c r="K33" s="11" t="inlineStr">
        <is>
          <t>Ishaan</t>
        </is>
      </c>
      <c r="L33" s="12" t="inlineStr">
        <is>
          <t>a handful of depots coming back blank on this join, checking DEPOT_MASTER for gaps</t>
        </is>
      </c>
    </row>
    <row r="34">
      <c r="A34" s="10" t="inlineStr">
        <is>
          <t>DIM_CUSTOMER</t>
        </is>
      </c>
      <c r="B34" s="11" t="inlineStr">
        <is>
          <t>DEPOT_CODE</t>
        </is>
      </c>
      <c r="C34" s="11" t="inlineStr">
        <is>
          <t>VARCHAR2(12)</t>
        </is>
      </c>
      <c r="D34" s="11" t="inlineStr">
        <is>
          <t>OMS_PROD</t>
        </is>
      </c>
      <c r="E34" s="11" t="inlineStr">
        <is>
          <t>CUSTOMER</t>
        </is>
      </c>
      <c r="F34" s="11" t="inlineStr">
        <is>
          <t>DEPOT_CD</t>
        </is>
      </c>
      <c r="G34" s="12" t="inlineStr">
        <is>
          <t>direct</t>
        </is>
      </c>
      <c r="H34" s="11" t="inlineStr">
        <is>
          <t>SCD2</t>
        </is>
      </c>
      <c r="I34" s="11" t="inlineStr">
        <is>
          <t>MAP_DIM_CUSTOMER</t>
        </is>
      </c>
      <c r="J34" s="8" t="inlineStr">
        <is>
          <t>Complete</t>
        </is>
      </c>
      <c r="K34" s="11" t="inlineStr">
        <is>
          <t>Ishaan</t>
        </is>
      </c>
      <c r="L34" s="12" t="n"/>
    </row>
    <row r="35">
      <c r="A35" s="10" t="inlineStr">
        <is>
          <t>DIM_CUSTOMER</t>
        </is>
      </c>
      <c r="B35" s="11" t="inlineStr">
        <is>
          <t>CREDIT_LIMIT_AMT</t>
        </is>
      </c>
      <c r="C35" s="11" t="inlineStr">
        <is>
          <t>NUMBER(14,2)</t>
        </is>
      </c>
      <c r="D35" s="11" t="inlineStr">
        <is>
          <t>OMS_PROD</t>
        </is>
      </c>
      <c r="E35" s="11" t="inlineStr">
        <is>
          <t>CUSTOMER</t>
        </is>
      </c>
      <c r="F35" s="11" t="inlineStr">
        <is>
          <t>CREDIT_LIMIT</t>
        </is>
      </c>
      <c r="G35" s="12" t="inlineStr">
        <is>
          <t>direct</t>
        </is>
      </c>
      <c r="H35" s="11" t="inlineStr">
        <is>
          <t>SCD2</t>
        </is>
      </c>
      <c r="I35" s="11" t="inlineStr">
        <is>
          <t>MAP_DIM_CUSTOMER</t>
        </is>
      </c>
      <c r="J35" s="8" t="inlineStr">
        <is>
          <t>Complete</t>
        </is>
      </c>
      <c r="K35" s="11" t="inlineStr">
        <is>
          <t>Ishaan</t>
        </is>
      </c>
      <c r="L35" s="12" t="n"/>
    </row>
    <row r="36">
      <c r="A36" s="10" t="inlineStr">
        <is>
          <t>DIM_CUSTOMER</t>
        </is>
      </c>
      <c r="B36" s="11" t="inlineStr">
        <is>
          <t>EFF_START_DT</t>
        </is>
      </c>
      <c r="C36" s="11" t="inlineStr">
        <is>
          <t>DATE</t>
        </is>
      </c>
      <c r="D36" s="11" t="n"/>
      <c r="E36" s="11" t="n"/>
      <c r="F36" s="11" t="n"/>
      <c r="G36" s="12" t="inlineStr">
        <is>
          <t>SCD2 logic, set on version insert</t>
        </is>
      </c>
      <c r="H36" s="11" t="inlineStr">
        <is>
          <t>SCD2</t>
        </is>
      </c>
      <c r="I36" s="11" t="inlineStr">
        <is>
          <t>MAP_DIM_CUSTOMER</t>
        </is>
      </c>
      <c r="J36" s="8" t="inlineStr">
        <is>
          <t>Complete</t>
        </is>
      </c>
      <c r="K36" s="11" t="inlineStr">
        <is>
          <t>Ishaan</t>
        </is>
      </c>
      <c r="L36" s="12" t="n"/>
    </row>
    <row r="37">
      <c r="A37" s="10" t="inlineStr">
        <is>
          <t>DIM_CUSTOMER</t>
        </is>
      </c>
      <c r="B37" s="11" t="inlineStr">
        <is>
          <t>EFF_END_DT</t>
        </is>
      </c>
      <c r="C37" s="11" t="inlineStr">
        <is>
          <t>DATE</t>
        </is>
      </c>
      <c r="D37" s="11" t="n"/>
      <c r="E37" s="11" t="n"/>
      <c r="F37" s="11" t="n"/>
      <c r="G37" s="12" t="inlineStr">
        <is>
          <t>SCD2 logic, closed off when a new version is inserted</t>
        </is>
      </c>
      <c r="H37" s="11" t="inlineStr">
        <is>
          <t>SCD2</t>
        </is>
      </c>
      <c r="I37" s="11" t="inlineStr">
        <is>
          <t>MAP_DIM_CUSTOMER</t>
        </is>
      </c>
      <c r="J37" s="8" t="inlineStr">
        <is>
          <t>Complete</t>
        </is>
      </c>
      <c r="K37" s="11" t="inlineStr">
        <is>
          <t>Ishaan</t>
        </is>
      </c>
      <c r="L37" s="12" t="n"/>
    </row>
    <row r="38">
      <c r="A38" s="10" t="inlineStr">
        <is>
          <t>DIM_CUSTOMER</t>
        </is>
      </c>
      <c r="B38" s="11" t="inlineStr">
        <is>
          <t>CURRENT_FLG</t>
        </is>
      </c>
      <c r="C38" s="11" t="inlineStr">
        <is>
          <t>CHAR(1)</t>
        </is>
      </c>
      <c r="D38" s="11" t="n"/>
      <c r="E38" s="11" t="n"/>
      <c r="F38" s="11" t="n"/>
      <c r="G38" s="12" t="inlineStr">
        <is>
          <t>SCD2 logic, Y on latest version, N on prior</t>
        </is>
      </c>
      <c r="H38" s="11" t="inlineStr">
        <is>
          <t>SCD2</t>
        </is>
      </c>
      <c r="I38" s="11" t="inlineStr">
        <is>
          <t>MAP_DIM_CUSTOMER</t>
        </is>
      </c>
      <c r="J38" s="8" t="inlineStr">
        <is>
          <t>Complete</t>
        </is>
      </c>
      <c r="K38" s="11" t="inlineStr">
        <is>
          <t>Ishaan</t>
        </is>
      </c>
      <c r="L38" s="12" t="n"/>
    </row>
    <row r="39">
      <c r="A39" s="10" t="inlineStr">
        <is>
          <t>DIM_CUSTOMER</t>
        </is>
      </c>
      <c r="B39" s="11" t="inlineStr">
        <is>
          <t>LOAD_DT</t>
        </is>
      </c>
      <c r="C39" s="11" t="inlineStr">
        <is>
          <t>DATE</t>
        </is>
      </c>
      <c r="D39" s="11" t="n"/>
      <c r="E39" s="11" t="n"/>
      <c r="F39" s="11" t="n"/>
      <c r="G39" s="12" t="inlineStr">
        <is>
          <t>batch load timestamp, system generated</t>
        </is>
      </c>
      <c r="H39" s="11" t="inlineStr">
        <is>
          <t>SCD2</t>
        </is>
      </c>
      <c r="I39" s="11" t="inlineStr">
        <is>
          <t>MAP_DIM_CUSTOMER</t>
        </is>
      </c>
      <c r="J39" s="8" t="inlineStr">
        <is>
          <t>Complete</t>
        </is>
      </c>
      <c r="K39" s="11" t="inlineStr">
        <is>
          <t>Ishaan</t>
        </is>
      </c>
      <c r="L39" s="12" t="n"/>
    </row>
    <row r="40">
      <c r="A40" s="10" t="inlineStr">
        <is>
          <t>DIM_CUSTOMER</t>
        </is>
      </c>
      <c r="B40" s="11" t="inlineStr">
        <is>
          <t>UPD_DT</t>
        </is>
      </c>
      <c r="C40" s="11" t="inlineStr">
        <is>
          <t>DATE</t>
        </is>
      </c>
      <c r="D40" s="11" t="n"/>
      <c r="E40" s="11" t="n"/>
      <c r="F40" s="11" t="n"/>
      <c r="G40" s="12" t="inlineStr">
        <is>
          <t>system generated</t>
        </is>
      </c>
      <c r="H40" s="11" t="inlineStr">
        <is>
          <t>SCD2</t>
        </is>
      </c>
      <c r="I40" s="11" t="inlineStr">
        <is>
          <t>MAP_DIM_CUSTOMER</t>
        </is>
      </c>
      <c r="J40" s="8" t="inlineStr">
        <is>
          <t>Complete</t>
        </is>
      </c>
      <c r="K40" s="11" t="inlineStr">
        <is>
          <t>Ishaan</t>
        </is>
      </c>
      <c r="L40" s="12" t="n"/>
    </row>
    <row r="41">
      <c r="A41" s="13" t="inlineStr">
        <is>
          <t>DIM_PRODUCT</t>
        </is>
      </c>
      <c r="B41" s="14" t="inlineStr">
        <is>
          <t>PRODUCT_KEY</t>
        </is>
      </c>
      <c r="C41" s="14" t="inlineStr">
        <is>
          <t>NUMBER(10)</t>
        </is>
      </c>
      <c r="D41" s="14" t="n"/>
      <c r="E41" s="14" t="n"/>
      <c r="F41" s="14" t="n"/>
      <c r="G41" s="15" t="inlineStr">
        <is>
          <t>surrogate key, sequence generated. -1 = UNKNOWN member</t>
        </is>
      </c>
      <c r="H41" s="14" t="inlineStr">
        <is>
          <t>SCD2</t>
        </is>
      </c>
      <c r="I41" s="14" t="inlineStr">
        <is>
          <t>MAP_DIM_PRODUCT</t>
        </is>
      </c>
      <c r="J41" s="8" t="inlineStr">
        <is>
          <t>Complete</t>
        </is>
      </c>
      <c r="K41" s="14" t="inlineStr">
        <is>
          <t>Ishaan</t>
        </is>
      </c>
      <c r="L41" s="15" t="n"/>
    </row>
    <row r="42">
      <c r="A42" s="13" t="inlineStr">
        <is>
          <t>DIM_PRODUCT</t>
        </is>
      </c>
      <c r="B42" s="14" t="inlineStr">
        <is>
          <t>SKU_ID</t>
        </is>
      </c>
      <c r="C42" s="14" t="inlineStr">
        <is>
          <t>NUMBER(10)</t>
        </is>
      </c>
      <c r="D42" s="14" t="inlineStr">
        <is>
          <t>OMS_PROD</t>
        </is>
      </c>
      <c r="E42" s="14" t="inlineStr">
        <is>
          <t>SKU_MASTER</t>
        </is>
      </c>
      <c r="F42" s="14" t="inlineStr">
        <is>
          <t>SKU_ID</t>
        </is>
      </c>
      <c r="G42" s="15" t="inlineStr">
        <is>
          <t>direct (natural key)</t>
        </is>
      </c>
      <c r="H42" s="14" t="inlineStr">
        <is>
          <t>SCD2</t>
        </is>
      </c>
      <c r="I42" s="14" t="inlineStr">
        <is>
          <t>MAP_DIM_PRODUCT</t>
        </is>
      </c>
      <c r="J42" s="8" t="inlineStr">
        <is>
          <t>Complete</t>
        </is>
      </c>
      <c r="K42" s="14" t="inlineStr">
        <is>
          <t>Ishaan</t>
        </is>
      </c>
      <c r="L42" s="15" t="n"/>
    </row>
    <row r="43">
      <c r="A43" s="13" t="inlineStr">
        <is>
          <t>DIM_PRODUCT</t>
        </is>
      </c>
      <c r="B43" s="14" t="inlineStr">
        <is>
          <t>SKU_CODE</t>
        </is>
      </c>
      <c r="C43" s="14" t="inlineStr">
        <is>
          <t>VARCHAR2(30)</t>
        </is>
      </c>
      <c r="D43" s="14" t="inlineStr">
        <is>
          <t>OMS_PROD</t>
        </is>
      </c>
      <c r="E43" s="14" t="inlineStr">
        <is>
          <t>SKU_MASTER</t>
        </is>
      </c>
      <c r="F43" s="14" t="inlineStr">
        <is>
          <t>SKU_CODE</t>
        </is>
      </c>
      <c r="G43" s="15" t="inlineStr">
        <is>
          <t>direct</t>
        </is>
      </c>
      <c r="H43" s="14" t="inlineStr">
        <is>
          <t>SCD2</t>
        </is>
      </c>
      <c r="I43" s="14" t="inlineStr">
        <is>
          <t>MAP_DIM_PRODUCT</t>
        </is>
      </c>
      <c r="J43" s="8" t="inlineStr">
        <is>
          <t>Complete</t>
        </is>
      </c>
      <c r="K43" s="14" t="inlineStr">
        <is>
          <t>Ishaan</t>
        </is>
      </c>
      <c r="L43" s="15" t="n"/>
    </row>
    <row r="44">
      <c r="A44" s="13" t="inlineStr">
        <is>
          <t>DIM_PRODUCT</t>
        </is>
      </c>
      <c r="B44" s="14" t="inlineStr">
        <is>
          <t>SKU_DESC</t>
        </is>
      </c>
      <c r="C44" s="14" t="inlineStr">
        <is>
          <t>VARCHAR2(200)</t>
        </is>
      </c>
      <c r="D44" s="14" t="inlineStr">
        <is>
          <t>OMS_PROD</t>
        </is>
      </c>
      <c r="E44" s="14" t="inlineStr">
        <is>
          <t>SKU_MASTER</t>
        </is>
      </c>
      <c r="F44" s="14" t="inlineStr">
        <is>
          <t>SKU_DESC</t>
        </is>
      </c>
      <c r="G44" s="15" t="inlineStr">
        <is>
          <t>direct</t>
        </is>
      </c>
      <c r="H44" s="14" t="inlineStr">
        <is>
          <t>SCD2</t>
        </is>
      </c>
      <c r="I44" s="14" t="inlineStr">
        <is>
          <t>MAP_DIM_PRODUCT</t>
        </is>
      </c>
      <c r="J44" s="8" t="inlineStr">
        <is>
          <t>Complete</t>
        </is>
      </c>
      <c r="K44" s="14" t="inlineStr">
        <is>
          <t>Ishaan</t>
        </is>
      </c>
      <c r="L44" s="15" t="n"/>
    </row>
    <row r="45">
      <c r="A45" s="13" t="inlineStr">
        <is>
          <t>DIM_PRODUCT</t>
        </is>
      </c>
      <c r="B45" s="14" t="inlineStr">
        <is>
          <t>BRAND_CODE</t>
        </is>
      </c>
      <c r="C45" s="14" t="inlineStr">
        <is>
          <t>VARCHAR2(10)</t>
        </is>
      </c>
      <c r="D45" s="14" t="inlineStr">
        <is>
          <t>OMS_PROD</t>
        </is>
      </c>
      <c r="E45" s="14" t="inlineStr">
        <is>
          <t>SKU_MASTER</t>
        </is>
      </c>
      <c r="F45" s="14" t="inlineStr">
        <is>
          <t>BRAND_CD</t>
        </is>
      </c>
      <c r="G45" s="15" t="inlineStr">
        <is>
          <t>direct</t>
        </is>
      </c>
      <c r="H45" s="14" t="inlineStr">
        <is>
          <t>SCD2</t>
        </is>
      </c>
      <c r="I45" s="14" t="inlineStr">
        <is>
          <t>MAP_DIM_PRODUCT</t>
        </is>
      </c>
      <c r="J45" s="8" t="inlineStr">
        <is>
          <t>Complete</t>
        </is>
      </c>
      <c r="K45" s="14" t="inlineStr">
        <is>
          <t>Ishaan</t>
        </is>
      </c>
      <c r="L45" s="15" t="n"/>
    </row>
    <row r="46">
      <c r="A46" s="13" t="inlineStr">
        <is>
          <t>DIM_PRODUCT</t>
        </is>
      </c>
      <c r="B46" s="14" t="inlineStr">
        <is>
          <t>BRAND_NAME</t>
        </is>
      </c>
      <c r="C46" s="14" t="inlineStr">
        <is>
          <t>VARCHAR2(60)</t>
        </is>
      </c>
      <c r="D46" s="14" t="n"/>
      <c r="E46" s="14" t="n"/>
      <c r="F46" s="14" t="n"/>
      <c r="G46" s="15" t="inlineStr">
        <is>
          <t>TBC. no brand name lookup in source, SKU_MASTER only carries BRAND_CD (SUV/NMB/KSG/CHD/TRG/RKS). ask Ani if there is a code list somewhere outside ORION</t>
        </is>
      </c>
      <c r="H46" s="14" t="inlineStr">
        <is>
          <t>SCD2</t>
        </is>
      </c>
      <c r="I46" s="14" t="inlineStr">
        <is>
          <t>MAP_DIM_PRODUCT</t>
        </is>
      </c>
      <c r="J46" s="9" t="inlineStr">
        <is>
          <t>In progress</t>
        </is>
      </c>
      <c r="K46" s="14" t="inlineStr">
        <is>
          <t>Ishaan</t>
        </is>
      </c>
      <c r="L46" s="15" t="inlineStr">
        <is>
          <t>TBC</t>
        </is>
      </c>
    </row>
    <row r="47">
      <c r="A47" s="13" t="inlineStr">
        <is>
          <t>DIM_PRODUCT</t>
        </is>
      </c>
      <c r="B47" s="14" t="inlineStr">
        <is>
          <t>CATEGORY_CODE</t>
        </is>
      </c>
      <c r="C47" s="14" t="inlineStr">
        <is>
          <t>VARCHAR2(10)</t>
        </is>
      </c>
      <c r="D47" s="14" t="inlineStr">
        <is>
          <t>OMS_PROD</t>
        </is>
      </c>
      <c r="E47" s="14" t="inlineStr">
        <is>
          <t>SKU_MASTER</t>
        </is>
      </c>
      <c r="F47" s="14" t="inlineStr">
        <is>
          <t>CATEGORY_CD</t>
        </is>
      </c>
      <c r="G47" s="15" t="inlineStr">
        <is>
          <t>direct (null on some rows, source has no NOT NULL on this)</t>
        </is>
      </c>
      <c r="H47" s="14" t="inlineStr">
        <is>
          <t>SCD2</t>
        </is>
      </c>
      <c r="I47" s="14" t="inlineStr">
        <is>
          <t>MAP_DIM_PRODUCT</t>
        </is>
      </c>
      <c r="J47" s="8" t="inlineStr">
        <is>
          <t>Complete</t>
        </is>
      </c>
      <c r="K47" s="14" t="inlineStr">
        <is>
          <t>Ishaan</t>
        </is>
      </c>
      <c r="L47" s="15" t="n"/>
    </row>
    <row r="48">
      <c r="A48" s="13" t="inlineStr">
        <is>
          <t>DIM_PRODUCT</t>
        </is>
      </c>
      <c r="B48" s="14" t="inlineStr">
        <is>
          <t>CATEGORY_NAME</t>
        </is>
      </c>
      <c r="C48" s="14" t="inlineStr">
        <is>
          <t>VARCHAR2(60)</t>
        </is>
      </c>
      <c r="D48" s="14" t="n"/>
      <c r="E48" s="14" t="n"/>
      <c r="F48" s="14" t="n"/>
      <c r="G48" s="15" t="inlineStr">
        <is>
          <t>TBC, same issue as BRAND_NAME above</t>
        </is>
      </c>
      <c r="H48" s="14" t="inlineStr">
        <is>
          <t>SCD2</t>
        </is>
      </c>
      <c r="I48" s="14" t="inlineStr">
        <is>
          <t>MAP_DIM_PRODUCT</t>
        </is>
      </c>
      <c r="J48" s="9" t="inlineStr">
        <is>
          <t>In progress</t>
        </is>
      </c>
      <c r="K48" s="14" t="inlineStr">
        <is>
          <t>Ishaan</t>
        </is>
      </c>
      <c r="L48" s="15" t="inlineStr">
        <is>
          <t>TBC</t>
        </is>
      </c>
    </row>
    <row r="49">
      <c r="A49" s="13" t="inlineStr">
        <is>
          <t>DIM_PRODUCT</t>
        </is>
      </c>
      <c r="B49" s="14" t="inlineStr">
        <is>
          <t>PACK_SIZE</t>
        </is>
      </c>
      <c r="C49" s="14" t="inlineStr">
        <is>
          <t>VARCHAR2(20)</t>
        </is>
      </c>
      <c r="D49" s="14" t="inlineStr">
        <is>
          <t>OMS_PROD</t>
        </is>
      </c>
      <c r="E49" s="14" t="inlineStr">
        <is>
          <t>SKU_MASTER</t>
        </is>
      </c>
      <c r="F49" s="14" t="inlineStr">
        <is>
          <t>PACK_SIZE</t>
        </is>
      </c>
      <c r="G49" s="15" t="inlineStr">
        <is>
          <t>direct</t>
        </is>
      </c>
      <c r="H49" s="14" t="inlineStr">
        <is>
          <t>SCD2</t>
        </is>
      </c>
      <c r="I49" s="14" t="inlineStr">
        <is>
          <t>MAP_DIM_PRODUCT</t>
        </is>
      </c>
      <c r="J49" s="8" t="inlineStr">
        <is>
          <t>Complete</t>
        </is>
      </c>
      <c r="K49" s="14" t="inlineStr">
        <is>
          <t>Ishaan</t>
        </is>
      </c>
      <c r="L49" s="15" t="n"/>
    </row>
    <row r="50">
      <c r="A50" s="13" t="inlineStr">
        <is>
          <t>DIM_PRODUCT</t>
        </is>
      </c>
      <c r="B50" s="14" t="inlineStr">
        <is>
          <t>UOM</t>
        </is>
      </c>
      <c r="C50" s="14" t="inlineStr">
        <is>
          <t>VARCHAR2(5)</t>
        </is>
      </c>
      <c r="D50" s="14" t="inlineStr">
        <is>
          <t>OMS_PROD</t>
        </is>
      </c>
      <c r="E50" s="14" t="inlineStr">
        <is>
          <t>SKU_MASTER</t>
        </is>
      </c>
      <c r="F50" s="14" t="inlineStr">
        <is>
          <t>UOM</t>
        </is>
      </c>
      <c r="G50" s="15" t="inlineStr">
        <is>
          <t>direct</t>
        </is>
      </c>
      <c r="H50" s="14" t="inlineStr">
        <is>
          <t>SCD2</t>
        </is>
      </c>
      <c r="I50" s="14" t="inlineStr">
        <is>
          <t>MAP_DIM_PRODUCT</t>
        </is>
      </c>
      <c r="J50" s="8" t="inlineStr">
        <is>
          <t>Complete</t>
        </is>
      </c>
      <c r="K50" s="14" t="inlineStr">
        <is>
          <t>Ishaan</t>
        </is>
      </c>
      <c r="L50" s="15" t="n"/>
    </row>
    <row r="51">
      <c r="A51" s="13" t="inlineStr">
        <is>
          <t>DIM_PRODUCT</t>
        </is>
      </c>
      <c r="B51" s="14" t="inlineStr">
        <is>
          <t>MRP_AMT</t>
        </is>
      </c>
      <c r="C51" s="14" t="inlineStr">
        <is>
          <t>NUMBER(12,2)</t>
        </is>
      </c>
      <c r="D51" s="14" t="inlineStr">
        <is>
          <t>OMS_PROD</t>
        </is>
      </c>
      <c r="E51" s="14" t="inlineStr">
        <is>
          <t>SKU_MASTER</t>
        </is>
      </c>
      <c r="F51" s="14" t="inlineStr">
        <is>
          <t>MRP</t>
        </is>
      </c>
      <c r="G51" s="15" t="inlineStr">
        <is>
          <t>direct</t>
        </is>
      </c>
      <c r="H51" s="14" t="inlineStr">
        <is>
          <t>SCD2</t>
        </is>
      </c>
      <c r="I51" s="14" t="inlineStr">
        <is>
          <t>MAP_DIM_PRODUCT</t>
        </is>
      </c>
      <c r="J51" s="8" t="inlineStr">
        <is>
          <t>Complete</t>
        </is>
      </c>
      <c r="K51" s="14" t="inlineStr">
        <is>
          <t>Ishaan</t>
        </is>
      </c>
      <c r="L51" s="15" t="n"/>
    </row>
    <row r="52">
      <c r="A52" s="13" t="inlineStr">
        <is>
          <t>DIM_PRODUCT</t>
        </is>
      </c>
      <c r="B52" s="14" t="inlineStr">
        <is>
          <t>HSN_CODE</t>
        </is>
      </c>
      <c r="C52" s="14" t="inlineStr">
        <is>
          <t>VARCHAR2(10)</t>
        </is>
      </c>
      <c r="D52" s="14" t="inlineStr">
        <is>
          <t>OMS_PROD</t>
        </is>
      </c>
      <c r="E52" s="14" t="inlineStr">
        <is>
          <t>SKU_MASTER</t>
        </is>
      </c>
      <c r="F52" s="14" t="inlineStr">
        <is>
          <t>HSN_CODE</t>
        </is>
      </c>
      <c r="G52" s="15" t="inlineStr">
        <is>
          <t>direct</t>
        </is>
      </c>
      <c r="H52" s="14" t="inlineStr">
        <is>
          <t>SCD2</t>
        </is>
      </c>
      <c r="I52" s="14" t="inlineStr">
        <is>
          <t>MAP_DIM_PRODUCT</t>
        </is>
      </c>
      <c r="J52" s="8" t="inlineStr">
        <is>
          <t>Complete</t>
        </is>
      </c>
      <c r="K52" s="14" t="inlineStr">
        <is>
          <t>Ishaan</t>
        </is>
      </c>
      <c r="L52" s="15" t="n"/>
    </row>
    <row r="53">
      <c r="A53" s="13" t="inlineStr">
        <is>
          <t>DIM_PRODUCT</t>
        </is>
      </c>
      <c r="B53" s="14" t="inlineStr">
        <is>
          <t>ACTIVE_FLG</t>
        </is>
      </c>
      <c r="C53" s="14" t="inlineStr">
        <is>
          <t>CHAR(1)</t>
        </is>
      </c>
      <c r="D53" s="14" t="inlineStr">
        <is>
          <t>OMS_PROD</t>
        </is>
      </c>
      <c r="E53" s="14" t="inlineStr">
        <is>
          <t>SKU_MASTER</t>
        </is>
      </c>
      <c r="F53" s="14" t="inlineStr">
        <is>
          <t>ACTIVE_FLG</t>
        </is>
      </c>
      <c r="G53" s="15" t="inlineStr">
        <is>
          <t>direct, TBC whether this should instead track off DELETE_FLAG</t>
        </is>
      </c>
      <c r="H53" s="14" t="n"/>
      <c r="I53" s="14" t="inlineStr">
        <is>
          <t>MAP_DIM_PRODUCT</t>
        </is>
      </c>
      <c r="J53" s="9" t="inlineStr">
        <is>
          <t>In progress</t>
        </is>
      </c>
      <c r="K53" s="14" t="inlineStr">
        <is>
          <t>Ishaan</t>
        </is>
      </c>
      <c r="L53" s="15" t="n"/>
    </row>
    <row r="54">
      <c r="A54" s="13" t="inlineStr">
        <is>
          <t>DIM_PRODUCT</t>
        </is>
      </c>
      <c r="B54" s="14" t="inlineStr">
        <is>
          <t>EFF_START_DT</t>
        </is>
      </c>
      <c r="C54" s="14" t="inlineStr">
        <is>
          <t>DATE</t>
        </is>
      </c>
      <c r="D54" s="14" t="n"/>
      <c r="E54" s="14" t="n"/>
      <c r="F54" s="14" t="n"/>
      <c r="G54" s="15" t="inlineStr">
        <is>
          <t>TBC, SCD2 logic not built yet on this dim</t>
        </is>
      </c>
      <c r="H54" s="14" t="inlineStr">
        <is>
          <t>SCD2</t>
        </is>
      </c>
      <c r="I54" s="14" t="inlineStr">
        <is>
          <t>MAP_DIM_PRODUCT</t>
        </is>
      </c>
      <c r="J54" s="16" t="inlineStr">
        <is>
          <t>Not started</t>
        </is>
      </c>
      <c r="K54" s="14" t="n"/>
      <c r="L54" s="15" t="inlineStr">
        <is>
          <t>TBC</t>
        </is>
      </c>
    </row>
    <row r="55">
      <c r="A55" s="13" t="inlineStr">
        <is>
          <t>DIM_PRODUCT</t>
        </is>
      </c>
      <c r="B55" s="14" t="inlineStr">
        <is>
          <t>EFF_END_DT</t>
        </is>
      </c>
      <c r="C55" s="14" t="inlineStr">
        <is>
          <t>DATE</t>
        </is>
      </c>
      <c r="D55" s="14" t="n"/>
      <c r="E55" s="14" t="n"/>
      <c r="F55" s="14" t="n"/>
      <c r="G55" s="15" t="inlineStr">
        <is>
          <t>TBC</t>
        </is>
      </c>
      <c r="H55" s="14" t="inlineStr">
        <is>
          <t>SCD2</t>
        </is>
      </c>
      <c r="I55" s="14" t="inlineStr">
        <is>
          <t>MAP_DIM_PRODUCT</t>
        </is>
      </c>
      <c r="J55" s="16" t="inlineStr">
        <is>
          <t>Not started</t>
        </is>
      </c>
      <c r="K55" s="14" t="n"/>
      <c r="L55" s="15" t="inlineStr">
        <is>
          <t>TBC</t>
        </is>
      </c>
    </row>
    <row r="56">
      <c r="A56" s="13" t="inlineStr">
        <is>
          <t>DIM_PRODUCT</t>
        </is>
      </c>
      <c r="B56" s="14" t="inlineStr">
        <is>
          <t>CURRENT_FLG</t>
        </is>
      </c>
      <c r="C56" s="14" t="inlineStr">
        <is>
          <t>CHAR(1)</t>
        </is>
      </c>
      <c r="D56" s="14" t="n"/>
      <c r="E56" s="14" t="n"/>
      <c r="F56" s="14" t="n"/>
      <c r="G56" s="15" t="inlineStr">
        <is>
          <t>TBC</t>
        </is>
      </c>
      <c r="H56" s="14" t="inlineStr">
        <is>
          <t>SCD2</t>
        </is>
      </c>
      <c r="I56" s="14" t="inlineStr">
        <is>
          <t>MAP_DIM_PRODUCT</t>
        </is>
      </c>
      <c r="J56" s="16" t="inlineStr">
        <is>
          <t>Not started</t>
        </is>
      </c>
      <c r="K56" s="14" t="n"/>
      <c r="L56" s="15" t="inlineStr">
        <is>
          <t>TBC</t>
        </is>
      </c>
    </row>
    <row r="57">
      <c r="A57" s="13" t="inlineStr">
        <is>
          <t>DIM_PRODUCT</t>
        </is>
      </c>
      <c r="B57" s="14" t="inlineStr">
        <is>
          <t>LOAD_DT</t>
        </is>
      </c>
      <c r="C57" s="14" t="inlineStr">
        <is>
          <t>DATE</t>
        </is>
      </c>
      <c r="D57" s="14" t="n"/>
      <c r="E57" s="14" t="n"/>
      <c r="F57" s="14" t="n"/>
      <c r="G57" s="15" t="inlineStr">
        <is>
          <t>batch load timestamp, system generated</t>
        </is>
      </c>
      <c r="H57" s="14" t="inlineStr">
        <is>
          <t>SCD2</t>
        </is>
      </c>
      <c r="I57" s="14" t="inlineStr">
        <is>
          <t>MAP_DIM_PRODUCT</t>
        </is>
      </c>
      <c r="J57" s="8" t="inlineStr">
        <is>
          <t>Complete</t>
        </is>
      </c>
      <c r="K57" s="14" t="inlineStr">
        <is>
          <t>Ishaan</t>
        </is>
      </c>
      <c r="L57" s="15" t="n"/>
    </row>
    <row r="58">
      <c r="A58" s="17" t="inlineStr">
        <is>
          <t>FACT_ORDER_LINE</t>
        </is>
      </c>
      <c r="B58" s="18" t="inlineStr">
        <is>
          <t>ORDER_LINE_KEY</t>
        </is>
      </c>
      <c r="C58" s="18" t="inlineStr">
        <is>
          <t>NUMBER(14)</t>
        </is>
      </c>
      <c r="D58" s="18" t="n"/>
      <c r="E58" s="18" t="n"/>
      <c r="F58" s="18" t="n"/>
      <c r="G58" s="19" t="n"/>
      <c r="H58" s="18" t="n"/>
      <c r="I58" s="18" t="inlineStr">
        <is>
          <t>MAP_FACT_ORDER_LINE</t>
        </is>
      </c>
      <c r="J58" s="16" t="inlineStr">
        <is>
          <t>Not started</t>
        </is>
      </c>
      <c r="K58" s="18" t="n"/>
      <c r="L58" s="19" t="n"/>
    </row>
    <row r="59">
      <c r="A59" s="17" t="inlineStr">
        <is>
          <t>FACT_ORDER_LINE</t>
        </is>
      </c>
      <c r="B59" s="18" t="inlineStr">
        <is>
          <t>ORDER_ID</t>
        </is>
      </c>
      <c r="C59" s="18" t="inlineStr">
        <is>
          <t>NUMBER(12)</t>
        </is>
      </c>
      <c r="D59" s="18" t="n"/>
      <c r="E59" s="18" t="n"/>
      <c r="F59" s="18" t="n"/>
      <c r="G59" s="19" t="n"/>
      <c r="H59" s="18" t="n"/>
      <c r="I59" s="18" t="inlineStr">
        <is>
          <t>MAP_FACT_ORDER_LINE</t>
        </is>
      </c>
      <c r="J59" s="16" t="inlineStr">
        <is>
          <t>Not started</t>
        </is>
      </c>
      <c r="K59" s="18" t="n"/>
      <c r="L59" s="19" t="n"/>
    </row>
    <row r="60">
      <c r="A60" s="17" t="inlineStr">
        <is>
          <t>FACT_ORDER_LINE</t>
        </is>
      </c>
      <c r="B60" s="18" t="inlineStr">
        <is>
          <t>ORDER_LINE_ID</t>
        </is>
      </c>
      <c r="C60" s="18" t="inlineStr">
        <is>
          <t>NUMBER(12)</t>
        </is>
      </c>
      <c r="D60" s="18" t="n"/>
      <c r="E60" s="18" t="n"/>
      <c r="F60" s="18" t="n"/>
      <c r="G60" s="19" t="n"/>
      <c r="H60" s="18" t="n"/>
      <c r="I60" s="18" t="inlineStr">
        <is>
          <t>MAP_FACT_ORDER_LINE</t>
        </is>
      </c>
      <c r="J60" s="16" t="inlineStr">
        <is>
          <t>Not started</t>
        </is>
      </c>
      <c r="K60" s="18" t="n"/>
      <c r="L60" s="19" t="n"/>
    </row>
    <row r="61">
      <c r="A61" s="17" t="inlineStr">
        <is>
          <t>FACT_ORDER_LINE</t>
        </is>
      </c>
      <c r="B61" s="18" t="inlineStr">
        <is>
          <t>DATE_KEY</t>
        </is>
      </c>
      <c r="C61" s="18" t="inlineStr">
        <is>
          <t>NUMBER(8)</t>
        </is>
      </c>
      <c r="D61" s="18" t="n"/>
      <c r="E61" s="18" t="n"/>
      <c r="F61" s="18" t="n"/>
      <c r="G61" s="19" t="n"/>
      <c r="H61" s="18" t="n"/>
      <c r="I61" s="18" t="inlineStr">
        <is>
          <t>MAP_FACT_ORDER_LINE</t>
        </is>
      </c>
      <c r="J61" s="16" t="inlineStr">
        <is>
          <t>Not started</t>
        </is>
      </c>
      <c r="K61" s="18" t="n"/>
      <c r="L61" s="19" t="n"/>
    </row>
    <row r="62">
      <c r="A62" s="17" t="inlineStr">
        <is>
          <t>FACT_ORDER_LINE</t>
        </is>
      </c>
      <c r="B62" s="18" t="inlineStr">
        <is>
          <t>CUSTOMER_KEY</t>
        </is>
      </c>
      <c r="C62" s="18" t="inlineStr">
        <is>
          <t>NUMBER(10)</t>
        </is>
      </c>
      <c r="D62" s="18" t="n"/>
      <c r="E62" s="18" t="n"/>
      <c r="F62" s="18" t="n"/>
      <c r="G62" s="19" t="n"/>
      <c r="H62" s="18" t="n"/>
      <c r="I62" s="18" t="inlineStr">
        <is>
          <t>MAP_FACT_ORDER_LINE</t>
        </is>
      </c>
      <c r="J62" s="16" t="inlineStr">
        <is>
          <t>Not started</t>
        </is>
      </c>
      <c r="K62" s="18" t="n"/>
      <c r="L62" s="19" t="n"/>
    </row>
    <row r="63">
      <c r="A63" s="17" t="inlineStr">
        <is>
          <t>FACT_ORDER_LINE</t>
        </is>
      </c>
      <c r="B63" s="18" t="inlineStr">
        <is>
          <t>PRODUCT_KEY</t>
        </is>
      </c>
      <c r="C63" s="18" t="inlineStr">
        <is>
          <t>NUMBER(10)</t>
        </is>
      </c>
      <c r="D63" s="18" t="n"/>
      <c r="E63" s="18" t="n"/>
      <c r="F63" s="18" t="n"/>
      <c r="G63" s="19" t="n"/>
      <c r="H63" s="18" t="n"/>
      <c r="I63" s="18" t="inlineStr">
        <is>
          <t>MAP_FACT_ORDER_LINE</t>
        </is>
      </c>
      <c r="J63" s="16" t="inlineStr">
        <is>
          <t>Not started</t>
        </is>
      </c>
      <c r="K63" s="18" t="n"/>
      <c r="L63" s="19" t="n"/>
    </row>
    <row r="64">
      <c r="A64" s="17" t="inlineStr">
        <is>
          <t>FACT_ORDER_LINE</t>
        </is>
      </c>
      <c r="B64" s="18" t="inlineStr">
        <is>
          <t>GEO_KEY</t>
        </is>
      </c>
      <c r="C64" s="18" t="inlineStr">
        <is>
          <t>NUMBER(6)</t>
        </is>
      </c>
      <c r="D64" s="18" t="n"/>
      <c r="E64" s="18" t="n"/>
      <c r="F64" s="18" t="n"/>
      <c r="G64" s="19" t="n"/>
      <c r="H64" s="18" t="n"/>
      <c r="I64" s="18" t="inlineStr">
        <is>
          <t>MAP_FACT_ORDER_LINE</t>
        </is>
      </c>
      <c r="J64" s="16" t="inlineStr">
        <is>
          <t>Not started</t>
        </is>
      </c>
      <c r="K64" s="18" t="n"/>
      <c r="L64" s="19" t="n"/>
    </row>
    <row r="65">
      <c r="A65" s="17" t="inlineStr">
        <is>
          <t>FACT_ORDER_LINE</t>
        </is>
      </c>
      <c r="B65" s="18" t="inlineStr">
        <is>
          <t>ORDER_QTY_CS</t>
        </is>
      </c>
      <c r="C65" s="18" t="inlineStr">
        <is>
          <t>NUMBER(12,3)</t>
        </is>
      </c>
      <c r="D65" s="18" t="n"/>
      <c r="E65" s="18" t="n"/>
      <c r="F65" s="18" t="n"/>
      <c r="G65" s="19" t="n"/>
      <c r="H65" s="18" t="n"/>
      <c r="I65" s="18" t="inlineStr">
        <is>
          <t>MAP_FACT_ORDER_LINE</t>
        </is>
      </c>
      <c r="J65" s="16" t="inlineStr">
        <is>
          <t>Not started</t>
        </is>
      </c>
      <c r="K65" s="18" t="n"/>
      <c r="L65" s="19" t="inlineStr">
        <is>
          <t>ask Ani</t>
        </is>
      </c>
    </row>
    <row r="66">
      <c r="A66" s="17" t="inlineStr">
        <is>
          <t>FACT_ORDER_LINE</t>
        </is>
      </c>
      <c r="B66" s="18" t="inlineStr">
        <is>
          <t>SERVED_QTY_CS</t>
        </is>
      </c>
      <c r="C66" s="18" t="inlineStr">
        <is>
          <t>NUMBER(12,3)</t>
        </is>
      </c>
      <c r="D66" s="18" t="n"/>
      <c r="E66" s="18" t="n"/>
      <c r="F66" s="18" t="n"/>
      <c r="G66" s="19" t="n"/>
      <c r="H66" s="18" t="n"/>
      <c r="I66" s="18" t="inlineStr">
        <is>
          <t>MAP_FACT_ORDER_LINE</t>
        </is>
      </c>
      <c r="J66" s="16" t="inlineStr">
        <is>
          <t>Not started</t>
        </is>
      </c>
      <c r="K66" s="18" t="n"/>
      <c r="L66" s="19" t="n"/>
    </row>
    <row r="67">
      <c r="A67" s="17" t="inlineStr">
        <is>
          <t>FACT_ORDER_LINE</t>
        </is>
      </c>
      <c r="B67" s="18" t="inlineStr">
        <is>
          <t>LOAD_DT</t>
        </is>
      </c>
      <c r="C67" s="18" t="inlineStr">
        <is>
          <t>DATE</t>
        </is>
      </c>
      <c r="D67" s="18" t="n"/>
      <c r="E67" s="18" t="n"/>
      <c r="F67" s="18" t="n"/>
      <c r="G67" s="19" t="n"/>
      <c r="H67" s="18" t="n"/>
      <c r="I67" s="18" t="inlineStr">
        <is>
          <t>MAP_FACT_ORDER_LINE</t>
        </is>
      </c>
      <c r="J67" s="16" t="inlineStr">
        <is>
          <t>Not started</t>
        </is>
      </c>
      <c r="K67" s="18" t="n"/>
      <c r="L67" s="19" t="n"/>
    </row>
    <row r="68">
      <c r="A68" s="17" t="inlineStr">
        <is>
          <t>FACT_ORDER_LINE</t>
        </is>
      </c>
      <c r="B68" s="18" t="inlineStr">
        <is>
          <t>BATCH_ID</t>
        </is>
      </c>
      <c r="C68" s="18" t="inlineStr">
        <is>
          <t>NUMBER(10)</t>
        </is>
      </c>
      <c r="D68" s="18" t="n"/>
      <c r="E68" s="18" t="n"/>
      <c r="F68" s="18" t="n"/>
      <c r="G68" s="19" t="n"/>
      <c r="H68" s="18" t="n"/>
      <c r="I68" s="18" t="inlineStr">
        <is>
          <t>MAP_FACT_ORDER_LINE</t>
        </is>
      </c>
      <c r="J68" s="16" t="inlineStr">
        <is>
          <t>Not started</t>
        </is>
      </c>
      <c r="K68" s="18" t="n"/>
      <c r="L68" s="19" t="n"/>
    </row>
    <row r="69">
      <c r="A69" s="20" t="inlineStr">
        <is>
          <t>DIM_SCHEME</t>
        </is>
      </c>
      <c r="B69" s="21" t="n"/>
      <c r="C69" s="21" t="n"/>
      <c r="D69" s="21" t="n"/>
      <c r="E69" s="21" t="n"/>
      <c r="F69" s="21" t="n"/>
      <c r="G69" s="22" t="n"/>
      <c r="H69" s="21" t="n"/>
      <c r="I69" s="21" t="n"/>
      <c r="J69" s="23" t="n"/>
      <c r="K69" s="21" t="n"/>
      <c r="L69" s="22" t="n"/>
    </row>
  </sheetData>
  <autoFilter ref="A5:L69"/>
  <mergeCells count="3">
    <mergeCell ref="A3:L3"/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0" customWidth="1" min="3" max="3"/>
  </cols>
  <sheetData>
    <row r="1">
      <c r="A1" s="1" t="inlineStr">
        <is>
          <t>Legend &amp; Summary</t>
        </is>
      </c>
    </row>
    <row r="3">
      <c r="A3" s="24" t="inlineStr">
        <is>
          <t>Item</t>
        </is>
      </c>
      <c r="B3" s="24" t="inlineStr">
        <is>
          <t>Value</t>
        </is>
      </c>
      <c r="C3" s="24" t="inlineStr">
        <is>
          <t>Note</t>
        </is>
      </c>
    </row>
    <row r="4">
      <c r="A4" s="25" t="inlineStr">
        <is>
          <t>Total target columns listed</t>
        </is>
      </c>
      <c r="B4" s="25">
        <f>COUNTA(S2T_Mapping!B6:B69)</f>
        <v/>
      </c>
      <c r="C4" s="3" t="inlineStr">
        <is>
          <t>across all five target tables below</t>
        </is>
      </c>
    </row>
    <row r="5">
      <c r="A5" s="25" t="inlineStr">
        <is>
          <t>STATUS = Complete</t>
        </is>
      </c>
      <c r="B5" s="25">
        <f>COUNTIF(S2T_Mapping!J6:J69,"Complete")</f>
        <v/>
      </c>
      <c r="C5" s="3" t="inlineStr"/>
    </row>
    <row r="6">
      <c r="A6" s="25" t="inlineStr">
        <is>
          <t>STATUS = In progress</t>
        </is>
      </c>
      <c r="B6" s="25">
        <f>COUNTIF(S2T_Mapping!J6:J69,"In progress")</f>
        <v/>
      </c>
      <c r="C6" s="3" t="inlineStr"/>
    </row>
    <row r="7">
      <c r="A7" s="25" t="inlineStr">
        <is>
          <t>STATUS = Not started</t>
        </is>
      </c>
      <c r="B7" s="25">
        <f>COUNTIF(S2T_Mapping!J6:J69,"Not started")</f>
        <v/>
      </c>
      <c r="C7" s="3" t="inlineStr"/>
    </row>
    <row r="8">
      <c r="A8" s="25" t="inlineStr">
        <is>
          <t>Check: the three above should sum to the total row count</t>
        </is>
      </c>
      <c r="B8" s="25">
        <f>B5+B6+B7</f>
        <v/>
      </c>
      <c r="C8" s="3" t="inlineStr">
        <is>
          <t>compare by eye against B4, DIM_SCHEME's stub row has no STATUS so will not match exactly</t>
        </is>
      </c>
    </row>
    <row r="10">
      <c r="A10" s="26" t="inlineStr">
        <is>
          <t>Target tables in this draft</t>
        </is>
      </c>
    </row>
    <row r="11">
      <c r="A11" s="25" t="inlineStr">
        <is>
          <t>FACT_INVOICE_LINE</t>
        </is>
      </c>
      <c r="B11" s="25" t="inlineStr">
        <is>
          <t>mostly complete</t>
        </is>
      </c>
    </row>
    <row r="12">
      <c r="A12" s="25" t="inlineStr">
        <is>
          <t>DIM_CUSTOMER</t>
        </is>
      </c>
      <c r="B12" s="25" t="inlineStr">
        <is>
          <t>mostly complete</t>
        </is>
      </c>
    </row>
    <row r="13">
      <c r="A13" s="25" t="inlineStr">
        <is>
          <t>DIM_PRODUCT</t>
        </is>
      </c>
      <c r="B13" s="25" t="inlineStr">
        <is>
          <t>half done, brand/category name TBC</t>
        </is>
      </c>
    </row>
    <row r="14">
      <c r="A14" s="25" t="inlineStr">
        <is>
          <t>FACT_ORDER_LINE</t>
        </is>
      </c>
      <c r="B14" s="25" t="inlineStr">
        <is>
          <t>target columns only, source not started</t>
        </is>
      </c>
    </row>
    <row r="15">
      <c r="A15" s="25" t="inlineStr">
        <is>
          <t>DIM_SCHEME</t>
        </is>
      </c>
      <c r="B15" s="25" t="inlineStr">
        <is>
          <t>not started, header only</t>
        </is>
      </c>
    </row>
    <row r="17">
      <c r="A17" s="26" t="inlineStr">
        <is>
          <t>Change log</t>
        </is>
      </c>
    </row>
    <row r="18">
      <c r="A18" s="3" t="inlineStr">
        <is>
          <t>20-May-2026</t>
        </is>
      </c>
      <c r="B18" s="3" t="inlineStr">
        <is>
          <t>Ishaan</t>
        </is>
      </c>
      <c r="C18" s="27" t="inlineStr">
        <is>
          <t>initial draft. FACT_INVOICE_LINE and DIM_CUSTOMER</t>
        </is>
      </c>
    </row>
    <row r="19">
      <c r="A19" s="3" t="inlineStr">
        <is>
          <t>02-Jun-2026</t>
        </is>
      </c>
      <c r="B19" s="3" t="inlineStr">
        <is>
          <t>Ishaan</t>
        </is>
      </c>
      <c r="C19" s="27" t="inlineStr">
        <is>
          <t>added DIM_PRODUCT, brand/category name lookup still tbc</t>
        </is>
      </c>
    </row>
    <row r="20">
      <c r="A20" s="3" t="inlineStr">
        <is>
          <t>10/06/2026</t>
        </is>
      </c>
      <c r="B20" s="3" t="inlineStr">
        <is>
          <t>Ishaan</t>
        </is>
      </c>
      <c r="C20" s="27" t="inlineStr">
        <is>
          <t>added FACT_ORDER_LINE stub and DIM_SCHEME heading, not started either. will pick this up again once dashboard scope for those two is settled</t>
        </is>
      </c>
    </row>
    <row r="23">
      <c r="A23" s="26" t="inlineStr">
        <is>
          <t>Number format reference (not project data)</t>
        </is>
      </c>
    </row>
    <row r="24">
      <c r="A24" s="3" t="inlineStr">
        <is>
          <t>INR amount columns (e.g. CREDIT_LIMIT_AMT, MRP_AMT, GROSS_AMT) display as:</t>
        </is>
      </c>
      <c r="B24" s="28" t="n">
        <v>4163910</v>
      </c>
    </row>
    <row r="25">
      <c r="A25" s="3" t="inlineStr">
        <is>
          <t>Row-count / coverage figures display as:</t>
        </is>
      </c>
      <c r="B25" s="29" t="n">
        <v>0.98</v>
      </c>
    </row>
    <row r="27">
      <c r="A27" s="30" t="inlineStr">
        <is>
          <t>SYNTHETIC — generated for internal demo. No real entity depicted.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Ishaan Bhatt</dc:creator>
  <dc:title xmlns:dc="http://purl.org/dc/elements/1.1/">BCPL_EDW Source to Target Mapping (Draft)</dc:title>
  <dc:description xmlns:dc="http://purl.org/dc/elements/1.1/">SYNTHETIC — generated for internal demo. No real entity depicted.</dc:description>
  <dc:subject xmlns:dc="http://purl.org/dc/elements/1.1/">Project Drishti - S2T mapping working tracker</dc:subject>
  <dcterms:created xmlns:dcterms="http://purl.org/dc/terms/" xmlns:xsi="http://www.w3.org/2001/XMLSchema-instance" xsi:type="dcterms:W3CDTF">2026-05-20T11:15:00Z</dcterms:created>
  <dcterms:modified xmlns:dcterms="http://purl.org/dc/terms/" xmlns:xsi="http://www.w3.org/2001/XMLSchema-instance" xsi:type="dcterms:W3CDTF">2026-08-22T23:48:09Z</dcterms:modified>
  <cp:lastModifiedBy>Ishaan Bhatt</cp:lastModifiedBy>
  <cp:category>Working tracker</cp:category>
  <cp:keywords>source to target, mapping, BCPL_EDW</cp:keywords>
</cp:coreProperties>
</file>